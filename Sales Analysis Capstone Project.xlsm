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1.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hidePivotFieldList="1" defaultThemeVersion="166925"/>
  <mc:AlternateContent xmlns:mc="http://schemas.openxmlformats.org/markup-compatibility/2006">
    <mc:Choice Requires="x15">
      <x15ac:absPath xmlns:x15ac="http://schemas.microsoft.com/office/spreadsheetml/2010/11/ac" url="C:\Users\chedeema\Downloads\STZ Operational Document and Workflow\"/>
    </mc:Choice>
  </mc:AlternateContent>
  <xr:revisionPtr revIDLastSave="0" documentId="13_ncr:1_{440156D1-3835-4473-9C15-6E016BAFA1AB}" xr6:coauthVersionLast="47" xr6:coauthVersionMax="47" xr10:uidLastSave="{00000000-0000-0000-0000-000000000000}"/>
  <bookViews>
    <workbookView xWindow="-110" yWindow="-110" windowWidth="19420" windowHeight="10300" activeTab="1" xr2:uid="{B317D4F0-6588-4A83-80C8-30F72EE51835}"/>
  </bookViews>
  <sheets>
    <sheet name="Sheet1" sheetId="1" r:id="rId1"/>
    <sheet name="Sheet2" sheetId="2" r:id="rId2"/>
  </sheets>
  <definedNames>
    <definedName name="Slicer_category">#N/A</definedName>
    <definedName name="Slicer_status">#N/A</definedName>
    <definedName name="Timeline_order_date">#N/A</definedName>
  </definedNames>
  <calcPr calcId="191029"/>
  <pivotCaches>
    <pivotCache cacheId="746" r:id="rId3"/>
    <pivotCache cacheId="749" r:id="rId4"/>
    <pivotCache cacheId="752" r:id="rId5"/>
    <pivotCache cacheId="755" r:id="rId6"/>
    <pivotCache cacheId="758" r:id="rId7"/>
    <pivotCache cacheId="761" r:id="rId8"/>
    <pivotCache cacheId="764" r:id="rId9"/>
    <pivotCache cacheId="767" r:id="rId10"/>
  </pivotCaches>
  <extLst>
    <ext xmlns:x14="http://schemas.microsoft.com/office/spreadsheetml/2009/9/main" uri="{876F7934-8845-4945-9796-88D515C7AA90}">
      <x14:pivotCaches>
        <pivotCache cacheId="238" r:id="rId11"/>
        <pivotCache cacheId="488"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10" r:id="rId15"/>
      </x15:timelineCachePivotCaches>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31928b7d-83fa-4bfd-b83b-5f2241df1b95" name="CUSTOMER" connection="Query - CUSTOMER"/>
          <x15:modelTable id="ORDERDETAILS_8c2d899b-5df4-4570-8952-53c74fc5e103" name="ORDERDETAILS" connection="Query - ORDERDETAILS"/>
          <x15:modelTable id="PRODUCTS_6a6bbb13-8926-4d25-b724-ae4fdf80aa5b" name="PRODUCTS" connection="Query - PRODUCTS"/>
          <x15:modelTable id="SALESORDER_77bd6993-1f6c-49f8-ac6f-35892f670d79" name="SALESORDER" connection="Query - SALESORDER"/>
          <x15:modelTable id="A_e30a2473-581d-449c-b0d7-4239bc083f55" name="A" connection="Query - Measures"/>
        </x15:modelTables>
        <x15:modelRelationships>
          <x15:modelRelationship fromTable="ORDERDETAILS" fromColumn="order_id" toTable="SALESORDER" toColumn="order_id"/>
          <x15:modelRelationship fromTable="ORDERDETAILS" fromColumn="product_id" toTable="PRODUCTS" toColumn="product_id"/>
          <x15:modelRelationship fromTable="SALESORDER" fromColumn="customer_id" toTable="CUSTOMER" toColumn="customer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D06645-A024-459B-BA54-4534F1296006}" name="Query - CUSTOMER" description="Connection to the 'CUSTOMER' query in the workbook." type="100" refreshedVersion="7" minRefreshableVersion="5">
    <extLst>
      <ext xmlns:x15="http://schemas.microsoft.com/office/spreadsheetml/2010/11/main" uri="{DE250136-89BD-433C-8126-D09CA5730AF9}">
        <x15:connection id="c6ed8052-4173-47f6-b479-c4debb67003c"/>
      </ext>
    </extLst>
  </connection>
  <connection id="2" xr16:uid="{BA6F3056-5703-4AE8-90B9-061B15CE0D61}" name="Query - Measures" description="Connection to the 'Measures' query in the workbook." type="100" refreshedVersion="7" minRefreshableVersion="5">
    <extLst>
      <ext xmlns:x15="http://schemas.microsoft.com/office/spreadsheetml/2010/11/main" uri="{DE250136-89BD-433C-8126-D09CA5730AF9}">
        <x15:connection id="f6843127-e321-4723-b62a-4932f93fcfee"/>
      </ext>
    </extLst>
  </connection>
  <connection id="3" xr16:uid="{CFFBD0A5-A3A8-49AF-98BA-0D54CF138952}" name="Query - ORDERDETAILS" description="Connection to the 'ORDERDETAILS' query in the workbook." type="100" refreshedVersion="7" minRefreshableVersion="5">
    <extLst>
      <ext xmlns:x15="http://schemas.microsoft.com/office/spreadsheetml/2010/11/main" uri="{DE250136-89BD-433C-8126-D09CA5730AF9}">
        <x15:connection id="064468eb-3a6e-4ebb-9442-2fca3650830f"/>
      </ext>
    </extLst>
  </connection>
  <connection id="4" xr16:uid="{5636D03B-3A10-4235-8408-884F730F0188}" name="Query - PRODUCTS" description="Connection to the 'PRODUCTS' query in the workbook." type="100" refreshedVersion="7" minRefreshableVersion="5">
    <extLst>
      <ext xmlns:x15="http://schemas.microsoft.com/office/spreadsheetml/2010/11/main" uri="{DE250136-89BD-433C-8126-D09CA5730AF9}">
        <x15:connection id="53ed8ea0-2472-44af-b801-a2db3fa4312d"/>
      </ext>
    </extLst>
  </connection>
  <connection id="5" xr16:uid="{01478166-48CB-47CD-8A80-23B5BF27D8A7}" name="Query - SALESORDER" description="Connection to the 'SALESORDER' query in the workbook." type="100" refreshedVersion="7" minRefreshableVersion="5">
    <extLst>
      <ext xmlns:x15="http://schemas.microsoft.com/office/spreadsheetml/2010/11/main" uri="{DE250136-89BD-433C-8126-D09CA5730AF9}">
        <x15:connection id="8f7edd08-0bf9-4899-b3b1-ec49e3bd71af"/>
      </ext>
    </extLst>
  </connection>
  <connection id="6" xr16:uid="{AFAE098C-7710-412E-973F-4E30597C1D9F}"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<sst xmlns="http://schemas.openxmlformats.org/spreadsheetml/2006/main" count="64" uniqueCount="45">
  <si>
    <t>Total_Revenue</t>
  </si>
  <si>
    <t>Total_Quantity</t>
  </si>
  <si>
    <t>Total Quantity Sold</t>
  </si>
  <si>
    <t>Total Unsold</t>
  </si>
  <si>
    <t>Average Monthly Sales</t>
  </si>
  <si>
    <t>Row Labels</t>
  </si>
  <si>
    <t>April</t>
  </si>
  <si>
    <t>August</t>
  </si>
  <si>
    <t>December</t>
  </si>
  <si>
    <t>February</t>
  </si>
  <si>
    <t>January</t>
  </si>
  <si>
    <t>July</t>
  </si>
  <si>
    <t>June</t>
  </si>
  <si>
    <t>March</t>
  </si>
  <si>
    <t>May</t>
  </si>
  <si>
    <t>November</t>
  </si>
  <si>
    <t>October</t>
  </si>
  <si>
    <t>September</t>
  </si>
  <si>
    <t>Grand Total</t>
  </si>
  <si>
    <t>Sum of total_amount</t>
  </si>
  <si>
    <t>Month</t>
  </si>
  <si>
    <t>Brianna Daniels</t>
  </si>
  <si>
    <t>Juan Davis</t>
  </si>
  <si>
    <t>Karen Bishop</t>
  </si>
  <si>
    <t>Zachary Hess</t>
  </si>
  <si>
    <t>Zachary Underwood</t>
  </si>
  <si>
    <t>Accessories</t>
  </si>
  <si>
    <t>Electronics</t>
  </si>
  <si>
    <t>Furniture</t>
  </si>
  <si>
    <t>Office Supplies</t>
  </si>
  <si>
    <t>Cancelled</t>
  </si>
  <si>
    <t>Completed</t>
  </si>
  <si>
    <t>Pending</t>
  </si>
  <si>
    <t>Count of order_id</t>
  </si>
  <si>
    <t>Customers</t>
  </si>
  <si>
    <t>Status</t>
  </si>
  <si>
    <t>Sum of quantity</t>
  </si>
  <si>
    <t>Sum of price</t>
  </si>
  <si>
    <t>Product Category</t>
  </si>
  <si>
    <t>Crawfordmouth</t>
  </si>
  <si>
    <t>East Robertfort</t>
  </si>
  <si>
    <t>Jenniferview</t>
  </si>
  <si>
    <t>New Dustin</t>
  </si>
  <si>
    <t>North Austin</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</si>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</sst>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
    <numFmt numFmtId="165" formatCode="@\ &quot;*&quot;"/>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wrapText="1"/>
    </xf>
    <xf numFmtId="3"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0" xfId="0" applyNumberFormat="1"/>
    <xf numFmtId="165" fontId="0" fillId="0" borderId="0" xfId="0" applyNumberFormat="1" applyAlignment="1">
      <alignment horizontal="left"/>
    </xf>
  </cellXfs>
  <cellStyles count="1">
    <cellStyle name="Normal" xfId="0" builtinId="0"/>
  </cellStyles>
  <dxfs count="4">
    <dxf>
      <font>
        <b/>
        <color theme="1"/>
      </font>
      <border>
        <bottom style="thin">
          <color theme="5"/>
        </bottom>
        <vertical/>
        <horizontal/>
      </border>
    </dxf>
    <dxf>
      <font>
        <color theme="0"/>
      </font>
      <fill>
        <patternFill patternType="solid">
          <bgColor theme="1"/>
        </patternFill>
      </fill>
      <border>
        <left style="thin">
          <color theme="5"/>
        </left>
        <right style="thin">
          <color theme="5"/>
        </right>
        <top style="thin">
          <color theme="5"/>
        </top>
        <bottom style="thin">
          <color theme="5"/>
        </bottom>
        <vertical/>
        <horizontal/>
      </border>
    </dxf>
    <dxf>
      <font>
        <b/>
        <sz val="11"/>
        <color theme="1"/>
      </font>
      <border>
        <vertical/>
        <horizontal/>
      </border>
    </dxf>
    <dxf>
      <font>
        <color theme="0"/>
      </font>
      <fill>
        <patternFill patternType="none">
          <bgColor auto="1"/>
        </patternFill>
      </fill>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SlicerStyleDark2 2" pivot="0" table="0" count="10" xr9:uid="{2DF0AAF9-C7CC-4302-AA05-F78C723182D0}">
      <tableStyleElement type="wholeTable" dxfId="1"/>
      <tableStyleElement type="headerRow" dxfId="0"/>
    </tableStyle>
    <tableStyle name="TimeSlicerStyleDark2 2" pivot="0" table="0" count="9" xr9:uid="{89A0E27C-F32B-4B19-8597-2872A99EEB51}">
      <tableStyleElement type="wholeTable" dxfId="3"/>
      <tableStyleElement type="headerRow" dxfId="2"/>
    </tableStyle>
  </tableStyles>
  <colors>
    <mruColors>
      <color rgb="FFFF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5"/>
              </stop>
              <stop position="1">
                <color theme="5"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connections" Target="connection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50" Type="http://schemas.openxmlformats.org/officeDocument/2006/relationships/customXml" Target="../customXml/item29.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microsoft.com/office/2011/relationships/timelineCache" Target="timelineCaches/timelineCache1.xml"/><Relationship Id="rId29" Type="http://schemas.openxmlformats.org/officeDocument/2006/relationships/customXml" Target="../customXml/item8.xml"/><Relationship Id="rId11" Type="http://schemas.openxmlformats.org/officeDocument/2006/relationships/pivotCacheDefinition" Target="pivotCache/pivotCacheDefinition9.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 Type="http://schemas.openxmlformats.org/officeDocument/2006/relationships/pivotCacheDefinition" Target="pivotCache/pivotCacheDefinition3.xml"/><Relationship Id="rId15" Type="http://schemas.openxmlformats.org/officeDocument/2006/relationships/pivotCacheDefinition" Target="pivotCache/pivotCacheDefinition1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openxmlformats.org/officeDocument/2006/relationships/customXml" Target="../customXml/item28.xml"/><Relationship Id="rId10" Type="http://schemas.openxmlformats.org/officeDocument/2006/relationships/pivotCacheDefinition" Target="pivotCache/pivotCacheDefinition8.xml"/><Relationship Id="rId19" Type="http://schemas.openxmlformats.org/officeDocument/2006/relationships/styles" Target="styles.xml"/><Relationship Id="rId31" Type="http://schemas.openxmlformats.org/officeDocument/2006/relationships/customXml" Target="../customXml/item10.xml"/><Relationship Id="rId44" Type="http://schemas.openxmlformats.org/officeDocument/2006/relationships/customXml" Target="../customXml/item23.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sharedStrings" Target="sharedStrings.xml"/><Relationship Id="rId41"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Analysis Capstone Project.xlsm]Sheet1!PivotTable2</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Sheet1!$B$6</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Sheet1!$A$7:$A$19</c:f>
              <c:strCache>
                <c:ptCount val="12"/>
                <c:pt idx="0">
                  <c:v>January</c:v>
                </c:pt>
                <c:pt idx="1">
                  <c:v>February</c:v>
                </c:pt>
                <c:pt idx="2">
                  <c:v>March</c:v>
                </c:pt>
                <c:pt idx="3">
                  <c:v>April</c:v>
                </c:pt>
                <c:pt idx="4">
                  <c:v>August</c:v>
                </c:pt>
                <c:pt idx="5">
                  <c:v>December</c:v>
                </c:pt>
                <c:pt idx="6">
                  <c:v>July</c:v>
                </c:pt>
                <c:pt idx="7">
                  <c:v>June</c:v>
                </c:pt>
                <c:pt idx="8">
                  <c:v>May</c:v>
                </c:pt>
                <c:pt idx="9">
                  <c:v>November</c:v>
                </c:pt>
                <c:pt idx="10">
                  <c:v>October</c:v>
                </c:pt>
                <c:pt idx="11">
                  <c:v>September</c:v>
                </c:pt>
              </c:strCache>
            </c:strRef>
          </c:cat>
          <c:val>
            <c:numRef>
              <c:f>Sheet1!$B$7:$B$19</c:f>
              <c:numCache>
                <c:formatCode>\$#,##0.00;\(\$#,##0.00\);\$#,##0.00</c:formatCode>
                <c:ptCount val="12"/>
                <c:pt idx="0">
                  <c:v>750394</c:v>
                </c:pt>
                <c:pt idx="1">
                  <c:v>944706</c:v>
                </c:pt>
                <c:pt idx="2">
                  <c:v>891485</c:v>
                </c:pt>
                <c:pt idx="3">
                  <c:v>664667</c:v>
                </c:pt>
                <c:pt idx="4">
                  <c:v>1010710</c:v>
                </c:pt>
                <c:pt idx="5">
                  <c:v>756241</c:v>
                </c:pt>
                <c:pt idx="6">
                  <c:v>1158003</c:v>
                </c:pt>
                <c:pt idx="7">
                  <c:v>1061394</c:v>
                </c:pt>
                <c:pt idx="8">
                  <c:v>814218</c:v>
                </c:pt>
                <c:pt idx="9">
                  <c:v>544494</c:v>
                </c:pt>
                <c:pt idx="10">
                  <c:v>791815</c:v>
                </c:pt>
                <c:pt idx="11">
                  <c:v>800294</c:v>
                </c:pt>
              </c:numCache>
            </c:numRef>
          </c:val>
          <c:smooth val="0"/>
          <c:extLst>
            <c:ext xmlns:c16="http://schemas.microsoft.com/office/drawing/2014/chart" uri="{C3380CC4-5D6E-409C-BE32-E72D297353CC}">
              <c16:uniqueId val="{00000002-6E8D-451F-B0BD-909ACDB4F43D}"/>
            </c:ext>
          </c:extLst>
        </c:ser>
        <c:dLbls>
          <c:showLegendKey val="0"/>
          <c:showVal val="0"/>
          <c:showCatName val="0"/>
          <c:showSerName val="0"/>
          <c:showPercent val="0"/>
          <c:showBubbleSize val="0"/>
        </c:dLbls>
        <c:marker val="1"/>
        <c:smooth val="0"/>
        <c:axId val="100337903"/>
        <c:axId val="100338735"/>
      </c:lineChart>
      <c:catAx>
        <c:axId val="100337903"/>
        <c:scaling>
          <c:orientation val="minMax"/>
        </c:scaling>
        <c:delete val="0"/>
        <c:axPos val="b"/>
        <c:numFmt formatCode="General" sourceLinked="1"/>
        <c:majorTickMark val="none"/>
        <c:minorTickMark val="none"/>
        <c:tickLblPos val="nextTo"/>
        <c:spPr>
          <a:noFill/>
          <a:ln w="9525" cap="flat" cmpd="sng" algn="ctr">
            <a:solidFill>
              <a:schemeClr val="bg1">
                <a:alpha val="79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0338735"/>
        <c:crosses val="autoZero"/>
        <c:auto val="0"/>
        <c:lblAlgn val="ctr"/>
        <c:lblOffset val="100"/>
        <c:noMultiLvlLbl val="0"/>
      </c:catAx>
      <c:valAx>
        <c:axId val="100338735"/>
        <c:scaling>
          <c:orientation val="minMax"/>
        </c:scaling>
        <c:delete val="0"/>
        <c:axPos val="l"/>
        <c:numFmt formatCode="\$#,##0.00;\(\$#,##0.00\);\$#,##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0337903"/>
        <c:crossesAt val="1"/>
        <c:crossBetween val="between"/>
      </c:valAx>
      <c:spPr>
        <a:noFill/>
        <a:ln>
          <a:noFill/>
        </a:ln>
        <a:effectLst>
          <a:glow rad="127000">
            <a:schemeClr val="tx1">
              <a:lumMod val="75000"/>
              <a:lumOff val="25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51000"/>
      </a:schemeClr>
    </a:solidFill>
    <a:ln w="9525" cap="flat" cmpd="sng" algn="ctr">
      <a:solidFill>
        <a:schemeClr val="accent2">
          <a:lumMod val="75000"/>
          <a:alpha val="69000"/>
        </a:schemeClr>
      </a:solidFill>
      <a:beve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Analysis Capstone Project.xlsm]Sheet1!PivotTable5</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Sheet1!$E$15</c:f>
              <c:strCache>
                <c:ptCount val="1"/>
                <c:pt idx="0">
                  <c:v>Total</c:v>
                </c:pt>
              </c:strCache>
            </c:strRef>
          </c:tx>
          <c:spPr>
            <a:solidFill>
              <a:schemeClr val="accent2"/>
            </a:solidFill>
            <a:ln>
              <a:noFill/>
            </a:ln>
            <a:effectLst/>
          </c:spPr>
          <c:invertIfNegative val="0"/>
          <c:cat>
            <c:strRef>
              <c:f>Sheet1!$D$16:$D$21</c:f>
              <c:strCache>
                <c:ptCount val="5"/>
                <c:pt idx="0">
                  <c:v>Zachary Hess</c:v>
                </c:pt>
                <c:pt idx="1">
                  <c:v>Brianna Daniels</c:v>
                </c:pt>
                <c:pt idx="2">
                  <c:v>Zachary Underwood</c:v>
                </c:pt>
                <c:pt idx="3">
                  <c:v>Juan Davis</c:v>
                </c:pt>
                <c:pt idx="4">
                  <c:v>Karen Bishop</c:v>
                </c:pt>
              </c:strCache>
            </c:strRef>
          </c:cat>
          <c:val>
            <c:numRef>
              <c:f>Sheet1!$E$16:$E$21</c:f>
              <c:numCache>
                <c:formatCode>\$#,##0.00;\(\$#,##0.00\);\$#,##0.00</c:formatCode>
                <c:ptCount val="5"/>
                <c:pt idx="0">
                  <c:v>203908</c:v>
                </c:pt>
                <c:pt idx="1">
                  <c:v>208680</c:v>
                </c:pt>
                <c:pt idx="2">
                  <c:v>212128</c:v>
                </c:pt>
                <c:pt idx="3">
                  <c:v>220093</c:v>
                </c:pt>
                <c:pt idx="4">
                  <c:v>246542</c:v>
                </c:pt>
              </c:numCache>
            </c:numRef>
          </c:val>
          <c:extLst>
            <c:ext xmlns:c16="http://schemas.microsoft.com/office/drawing/2014/chart" uri="{C3380CC4-5D6E-409C-BE32-E72D297353CC}">
              <c16:uniqueId val="{00000003-B019-4B7D-A8FE-1176E2EE0AFB}"/>
            </c:ext>
          </c:extLst>
        </c:ser>
        <c:dLbls>
          <c:showLegendKey val="0"/>
          <c:showVal val="0"/>
          <c:showCatName val="0"/>
          <c:showSerName val="0"/>
          <c:showPercent val="0"/>
          <c:showBubbleSize val="0"/>
        </c:dLbls>
        <c:gapWidth val="182"/>
        <c:axId val="106192351"/>
        <c:axId val="106192767"/>
      </c:barChart>
      <c:catAx>
        <c:axId val="106192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6192767"/>
        <c:crosses val="autoZero"/>
        <c:auto val="1"/>
        <c:lblAlgn val="ctr"/>
        <c:lblOffset val="100"/>
        <c:noMultiLvlLbl val="0"/>
      </c:catAx>
      <c:valAx>
        <c:axId val="106192767"/>
        <c:scaling>
          <c:orientation val="minMax"/>
        </c:scaling>
        <c:delete val="1"/>
        <c:axPos val="b"/>
        <c:numFmt formatCode="\$#,##0.00;\(\$#,##0.00\);\$#,##0.00" sourceLinked="1"/>
        <c:majorTickMark val="none"/>
        <c:minorTickMark val="none"/>
        <c:tickLblPos val="nextTo"/>
        <c:crossAx val="106192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53000"/>
      </a:schemeClr>
    </a:solidFill>
    <a:ln w="9525" cap="flat" cmpd="sng" algn="ctr">
      <a:solidFill>
        <a:schemeClr val="accent2">
          <a:lumMod val="75000"/>
          <a:alpha val="69000"/>
        </a:schemeClr>
      </a:solidFill>
      <a:beve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Analysis Capstone Project.xlsm]Sheet1!PivotTable11</c:name>
    <c:fmtId val="4"/>
  </c:pivotSource>
  <c:chart>
    <c:title>
      <c:tx>
        <c:rich>
          <a:bodyPr rot="0" spcFirstLastPara="1" vertOverflow="ellipsis" vert="horz" wrap="square" anchor="ctr" anchorCtr="1"/>
          <a:lstStyle/>
          <a:p>
            <a:pPr>
              <a:defRPr sz="1400" b="0" i="0" u="none" strike="noStrike" kern="1200" spc="0" baseline="0">
                <a:solidFill>
                  <a:schemeClr val="bg1"/>
                </a:solidFill>
                <a:effectLst>
                  <a:outerShdw blurRad="50800" dist="50800" dir="5400000" algn="ctr" rotWithShape="0">
                    <a:srgbClr val="000000"/>
                  </a:outerShdw>
                </a:effectLst>
                <a:latin typeface="+mn-lt"/>
                <a:ea typeface="+mn-ea"/>
                <a:cs typeface="+mn-cs"/>
              </a:defRPr>
            </a:pPr>
            <a:r>
              <a:rPr lang="en-US"/>
              <a:t>Product Category</a:t>
            </a:r>
          </a:p>
        </c:rich>
      </c:tx>
      <c:layout>
        <c:manualLayout>
          <c:xMode val="edge"/>
          <c:yMode val="edge"/>
          <c:x val="0.31412301749310756"/>
          <c:y val="5.13169588511628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effectLst>
                <a:outerShdw blurRad="50800" dist="50800" dir="5400000" algn="ctr" rotWithShape="0">
                  <a:srgbClr val="000000"/>
                </a:outerShdw>
              </a:effectLst>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8143899156489749"/>
          <c:y val="0.16575239636390585"/>
          <c:w val="0.45847386933955236"/>
          <c:h val="0.75304346385330057"/>
        </c:manualLayout>
      </c:layout>
      <c:doughnutChart>
        <c:varyColors val="1"/>
        <c:ser>
          <c:idx val="0"/>
          <c:order val="0"/>
          <c:tx>
            <c:strRef>
              <c:f>Sheet1!$B$30</c:f>
              <c:strCache>
                <c:ptCount val="1"/>
                <c:pt idx="0">
                  <c:v>Total</c:v>
                </c:pt>
              </c:strCache>
            </c:strRef>
          </c:tx>
          <c:dPt>
            <c:idx val="0"/>
            <c:bubble3D val="0"/>
            <c:spPr>
              <a:solidFill>
                <a:schemeClr val="accent2">
                  <a:shade val="58000"/>
                </a:schemeClr>
              </a:solidFill>
              <a:ln>
                <a:noFill/>
              </a:ln>
              <a:effectLst/>
            </c:spPr>
          </c:dPt>
          <c:dPt>
            <c:idx val="1"/>
            <c:bubble3D val="0"/>
            <c:spPr>
              <a:solidFill>
                <a:schemeClr val="accent2">
                  <a:shade val="86000"/>
                </a:schemeClr>
              </a:solidFill>
              <a:ln>
                <a:noFill/>
              </a:ln>
              <a:effectLst/>
            </c:spPr>
          </c:dPt>
          <c:dPt>
            <c:idx val="2"/>
            <c:bubble3D val="0"/>
            <c:spPr>
              <a:solidFill>
                <a:schemeClr val="accent2">
                  <a:tint val="86000"/>
                </a:schemeClr>
              </a:solidFill>
              <a:ln>
                <a:noFill/>
              </a:ln>
              <a:effectLst/>
            </c:spPr>
          </c:dPt>
          <c:dPt>
            <c:idx val="3"/>
            <c:bubble3D val="0"/>
            <c:spPr>
              <a:solidFill>
                <a:schemeClr val="accent2">
                  <a:tint val="58000"/>
                </a:schemeClr>
              </a:solidFill>
              <a:ln>
                <a:noFill/>
              </a:ln>
              <a:effectLst/>
            </c:spPr>
          </c:dPt>
          <c:dLbls>
            <c:spPr>
              <a:noFill/>
              <a:ln>
                <a:noFill/>
              </a:ln>
              <a:effectLst/>
            </c:spPr>
            <c:txPr>
              <a:bodyPr rot="0" spcFirstLastPara="1" vertOverflow="ellipsis" vert="horz" wrap="square" anchor="ctr" anchorCtr="1"/>
              <a:lstStyle/>
              <a:p>
                <a:pPr>
                  <a:defRPr sz="9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Sheet1!$A$31:$A$35</c:f>
              <c:strCache>
                <c:ptCount val="4"/>
                <c:pt idx="0">
                  <c:v>Accessories</c:v>
                </c:pt>
                <c:pt idx="1">
                  <c:v>Electronics</c:v>
                </c:pt>
                <c:pt idx="2">
                  <c:v>Furniture</c:v>
                </c:pt>
                <c:pt idx="3">
                  <c:v>Office Supplies</c:v>
                </c:pt>
              </c:strCache>
            </c:strRef>
          </c:cat>
          <c:val>
            <c:numRef>
              <c:f>Sheet1!$B$31:$B$35</c:f>
              <c:numCache>
                <c:formatCode>\$#,##0.00;\(\$#,##0.00\);\$#,##0.00</c:formatCode>
                <c:ptCount val="4"/>
                <c:pt idx="0">
                  <c:v>885858</c:v>
                </c:pt>
                <c:pt idx="1">
                  <c:v>1144313</c:v>
                </c:pt>
                <c:pt idx="2">
                  <c:v>1358394</c:v>
                </c:pt>
                <c:pt idx="3">
                  <c:v>1670849</c:v>
                </c:pt>
              </c:numCache>
            </c:numRef>
          </c:val>
          <c:extLst>
            <c:ext xmlns:c16="http://schemas.microsoft.com/office/drawing/2014/chart" uri="{C3380CC4-5D6E-409C-BE32-E72D297353CC}">
              <c16:uniqueId val="{00000002-9A40-4E12-91AC-9DFBA04AB98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5.1489347751344519E-2"/>
          <c:y val="0.8164376273431484"/>
          <c:w val="0.89924546671876482"/>
          <c:h val="0.179955430643846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57000"/>
      </a:schemeClr>
    </a:solidFill>
    <a:ln w="9525" cap="flat" cmpd="sng" algn="ctr">
      <a:solidFill>
        <a:schemeClr val="accent2">
          <a:lumMod val="75000"/>
          <a:alpha val="68000"/>
        </a:schemeClr>
      </a:solidFill>
      <a:round/>
    </a:ln>
    <a:effectLst/>
  </c:spPr>
  <c:txPr>
    <a:bodyPr/>
    <a:lstStyle/>
    <a:p>
      <a:pPr>
        <a:defRPr>
          <a:solidFill>
            <a:schemeClr val="bg1"/>
          </a:solidFill>
          <a:effectLst>
            <a:outerShdw blurRad="50800" dist="50800" dir="5400000" algn="ctr" rotWithShape="0">
              <a:srgbClr val="000000"/>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Analysis Capstone Project.xlsm]Sheet1!PivotTable12</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Sales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Sheet1!$E$30</c:f>
              <c:strCache>
                <c:ptCount val="1"/>
                <c:pt idx="0">
                  <c:v>Total</c:v>
                </c:pt>
              </c:strCache>
            </c:strRef>
          </c:tx>
          <c:spPr>
            <a:solidFill>
              <a:schemeClr val="accent2"/>
            </a:solidFill>
            <a:ln>
              <a:noFill/>
            </a:ln>
            <a:effectLst/>
          </c:spPr>
          <c:invertIfNegative val="0"/>
          <c:cat>
            <c:strRef>
              <c:f>Sheet1!$D$31:$D$36</c:f>
              <c:strCache>
                <c:ptCount val="5"/>
                <c:pt idx="0">
                  <c:v>Crawfordmouth</c:v>
                </c:pt>
                <c:pt idx="1">
                  <c:v>North Austin</c:v>
                </c:pt>
                <c:pt idx="2">
                  <c:v>Jenniferview</c:v>
                </c:pt>
                <c:pt idx="3">
                  <c:v>New Dustin</c:v>
                </c:pt>
                <c:pt idx="4">
                  <c:v>East Robertfort</c:v>
                </c:pt>
              </c:strCache>
            </c:strRef>
          </c:cat>
          <c:val>
            <c:numRef>
              <c:f>Sheet1!$E$31:$E$36</c:f>
              <c:numCache>
                <c:formatCode>\$#,##0.00;\(\$#,##0.00\);\$#,##0.00</c:formatCode>
                <c:ptCount val="5"/>
                <c:pt idx="0">
                  <c:v>203908</c:v>
                </c:pt>
                <c:pt idx="1">
                  <c:v>208680</c:v>
                </c:pt>
                <c:pt idx="2">
                  <c:v>212128</c:v>
                </c:pt>
                <c:pt idx="3">
                  <c:v>220093</c:v>
                </c:pt>
                <c:pt idx="4">
                  <c:v>246542</c:v>
                </c:pt>
              </c:numCache>
            </c:numRef>
          </c:val>
          <c:extLst>
            <c:ext xmlns:c16="http://schemas.microsoft.com/office/drawing/2014/chart" uri="{C3380CC4-5D6E-409C-BE32-E72D297353CC}">
              <c16:uniqueId val="{00000002-41DC-437A-963E-BA3EE8BE0597}"/>
            </c:ext>
          </c:extLst>
        </c:ser>
        <c:dLbls>
          <c:showLegendKey val="0"/>
          <c:showVal val="0"/>
          <c:showCatName val="0"/>
          <c:showSerName val="0"/>
          <c:showPercent val="0"/>
          <c:showBubbleSize val="0"/>
        </c:dLbls>
        <c:gapWidth val="405"/>
        <c:overlap val="-7"/>
        <c:axId val="337986463"/>
        <c:axId val="337987711"/>
      </c:barChart>
      <c:catAx>
        <c:axId val="33798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37987711"/>
        <c:crosses val="autoZero"/>
        <c:auto val="1"/>
        <c:lblAlgn val="ctr"/>
        <c:lblOffset val="100"/>
        <c:noMultiLvlLbl val="0"/>
      </c:catAx>
      <c:valAx>
        <c:axId val="337987711"/>
        <c:scaling>
          <c:orientation val="minMax"/>
        </c:scaling>
        <c:delete val="1"/>
        <c:axPos val="l"/>
        <c:numFmt formatCode="\$#,##0.00;\(\$#,##0.00\);\$#,##0.00" sourceLinked="1"/>
        <c:majorTickMark val="none"/>
        <c:minorTickMark val="none"/>
        <c:tickLblPos val="nextTo"/>
        <c:crossAx val="337986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59000"/>
      </a:schemeClr>
    </a:solidFill>
    <a:ln w="9525" cap="flat" cmpd="sng" algn="ctr">
      <a:solidFill>
        <a:schemeClr val="accent2">
          <a:lumMod val="75000"/>
          <a:alpha val="68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0</xdr:rowOff>
    </xdr:from>
    <xdr:to>
      <xdr:col>26</xdr:col>
      <xdr:colOff>113974</xdr:colOff>
      <xdr:row>40</xdr:row>
      <xdr:rowOff>133350</xdr:rowOff>
    </xdr:to>
    <xdr:sp macro="" textlink="">
      <xdr:nvSpPr>
        <xdr:cNvPr id="2" name="Rectangle 1">
          <a:extLst>
            <a:ext uri="{FF2B5EF4-FFF2-40B4-BE49-F238E27FC236}">
              <a16:creationId xmlns:a16="http://schemas.microsoft.com/office/drawing/2014/main" id="{E957C9C7-D7CC-4D8A-888F-D484A4FFD596}"/>
            </a:ext>
          </a:extLst>
        </xdr:cNvPr>
        <xdr:cNvSpPr/>
      </xdr:nvSpPr>
      <xdr:spPr>
        <a:xfrm>
          <a:off x="12700" y="0"/>
          <a:ext cx="15976274" cy="7623094"/>
        </a:xfrm>
        <a:prstGeom prst="rect">
          <a:avLst/>
        </a:prstGeom>
        <a:gradFill flip="none" rotWithShape="1">
          <a:gsLst>
            <a:gs pos="54000">
              <a:schemeClr val="accent2">
                <a:lumMod val="89000"/>
              </a:schemeClr>
            </a:gs>
            <a:gs pos="35000">
              <a:schemeClr val="tx1"/>
            </a:gs>
            <a:gs pos="83000">
              <a:schemeClr val="tx1">
                <a:lumMod val="95000"/>
                <a:lumOff val="5000"/>
              </a:schemeClr>
            </a:gs>
          </a:gsLst>
          <a:lin ang="126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165100</xdr:colOff>
      <xdr:row>5</xdr:row>
      <xdr:rowOff>76200</xdr:rowOff>
    </xdr:from>
    <xdr:to>
      <xdr:col>1</xdr:col>
      <xdr:colOff>546100</xdr:colOff>
      <xdr:row>7</xdr:row>
      <xdr:rowOff>177800</xdr:rowOff>
    </xdr:to>
    <xdr:sp macro="" textlink="">
      <xdr:nvSpPr>
        <xdr:cNvPr id="4" name="Rectangle: Rounded Corners 3">
          <a:extLst>
            <a:ext uri="{FF2B5EF4-FFF2-40B4-BE49-F238E27FC236}">
              <a16:creationId xmlns:a16="http://schemas.microsoft.com/office/drawing/2014/main" id="{B927E842-63A2-45C7-93B0-69ABF37C849E}"/>
            </a:ext>
          </a:extLst>
        </xdr:cNvPr>
        <xdr:cNvSpPr/>
      </xdr:nvSpPr>
      <xdr:spPr>
        <a:xfrm>
          <a:off x="165100" y="996950"/>
          <a:ext cx="990600" cy="469900"/>
        </a:xfrm>
        <a:prstGeom prst="roundRect">
          <a:avLst/>
        </a:prstGeom>
        <a:solidFill>
          <a:schemeClr val="tx1">
            <a:alpha val="23000"/>
          </a:schemeClr>
        </a:solidFill>
        <a:ln>
          <a:noFill/>
        </a:ln>
        <a:effectLst>
          <a:glow rad="12700">
            <a:schemeClr val="accent2">
              <a:lumMod val="75000"/>
              <a:alpha val="18000"/>
            </a:schemeClr>
          </a:glow>
          <a:innerShdw blurRad="63500" dist="50800" dir="16200000">
            <a:prstClr val="black">
              <a:alpha val="50000"/>
            </a:prstClr>
          </a:innerShdw>
          <a:softEdge rad="889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165100</xdr:colOff>
      <xdr:row>8</xdr:row>
      <xdr:rowOff>122238</xdr:rowOff>
    </xdr:from>
    <xdr:to>
      <xdr:col>1</xdr:col>
      <xdr:colOff>546100</xdr:colOff>
      <xdr:row>11</xdr:row>
      <xdr:rowOff>39688</xdr:rowOff>
    </xdr:to>
    <xdr:sp macro="" textlink="">
      <xdr:nvSpPr>
        <xdr:cNvPr id="5" name="Rectangle: Rounded Corners 4">
          <a:extLst>
            <a:ext uri="{FF2B5EF4-FFF2-40B4-BE49-F238E27FC236}">
              <a16:creationId xmlns:a16="http://schemas.microsoft.com/office/drawing/2014/main" id="{4ECCFA2A-291E-410C-B92A-E687B8488A6A}"/>
            </a:ext>
          </a:extLst>
        </xdr:cNvPr>
        <xdr:cNvSpPr/>
      </xdr:nvSpPr>
      <xdr:spPr>
        <a:xfrm>
          <a:off x="165100" y="1595438"/>
          <a:ext cx="990600" cy="469900"/>
        </a:xfrm>
        <a:prstGeom prst="roundRect">
          <a:avLst/>
        </a:prstGeom>
        <a:solidFill>
          <a:schemeClr val="tx1">
            <a:alpha val="23000"/>
          </a:schemeClr>
        </a:solidFill>
        <a:ln>
          <a:noFill/>
        </a:ln>
        <a:effectLst>
          <a:glow rad="12700">
            <a:schemeClr val="accent2">
              <a:lumMod val="75000"/>
              <a:alpha val="18000"/>
            </a:schemeClr>
          </a:glow>
          <a:innerShdw blurRad="63500" dist="50800" dir="16200000">
            <a:prstClr val="black">
              <a:alpha val="50000"/>
            </a:prstClr>
          </a:innerShdw>
          <a:softEdge rad="889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165100</xdr:colOff>
      <xdr:row>11</xdr:row>
      <xdr:rowOff>168276</xdr:rowOff>
    </xdr:from>
    <xdr:to>
      <xdr:col>1</xdr:col>
      <xdr:colOff>546100</xdr:colOff>
      <xdr:row>14</xdr:row>
      <xdr:rowOff>85726</xdr:rowOff>
    </xdr:to>
    <xdr:sp macro="" textlink="">
      <xdr:nvSpPr>
        <xdr:cNvPr id="6" name="Rectangle: Rounded Corners 5">
          <a:extLst>
            <a:ext uri="{FF2B5EF4-FFF2-40B4-BE49-F238E27FC236}">
              <a16:creationId xmlns:a16="http://schemas.microsoft.com/office/drawing/2014/main" id="{6BF585D4-3BA1-433B-84C4-B9263E9DA450}"/>
            </a:ext>
          </a:extLst>
        </xdr:cNvPr>
        <xdr:cNvSpPr/>
      </xdr:nvSpPr>
      <xdr:spPr>
        <a:xfrm>
          <a:off x="165100" y="2193926"/>
          <a:ext cx="990600" cy="469900"/>
        </a:xfrm>
        <a:prstGeom prst="roundRect">
          <a:avLst/>
        </a:prstGeom>
        <a:solidFill>
          <a:schemeClr val="tx1">
            <a:alpha val="23000"/>
          </a:schemeClr>
        </a:solidFill>
        <a:ln>
          <a:noFill/>
        </a:ln>
        <a:effectLst>
          <a:glow rad="12700">
            <a:schemeClr val="accent2">
              <a:lumMod val="75000"/>
              <a:alpha val="18000"/>
            </a:schemeClr>
          </a:glow>
          <a:innerShdw blurRad="63500" dist="50800" dir="16200000">
            <a:prstClr val="black">
              <a:alpha val="50000"/>
            </a:prstClr>
          </a:innerShdw>
          <a:softEdge rad="889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165100</xdr:colOff>
      <xdr:row>15</xdr:row>
      <xdr:rowOff>30164</xdr:rowOff>
    </xdr:from>
    <xdr:to>
      <xdr:col>1</xdr:col>
      <xdr:colOff>546100</xdr:colOff>
      <xdr:row>17</xdr:row>
      <xdr:rowOff>131764</xdr:rowOff>
    </xdr:to>
    <xdr:sp macro="" textlink="">
      <xdr:nvSpPr>
        <xdr:cNvPr id="7" name="Rectangle: Rounded Corners 6">
          <a:extLst>
            <a:ext uri="{FF2B5EF4-FFF2-40B4-BE49-F238E27FC236}">
              <a16:creationId xmlns:a16="http://schemas.microsoft.com/office/drawing/2014/main" id="{18C62B12-71F3-4311-A1FB-6E034C48A0CA}"/>
            </a:ext>
          </a:extLst>
        </xdr:cNvPr>
        <xdr:cNvSpPr/>
      </xdr:nvSpPr>
      <xdr:spPr>
        <a:xfrm>
          <a:off x="165100" y="2792414"/>
          <a:ext cx="990600" cy="469900"/>
        </a:xfrm>
        <a:prstGeom prst="roundRect">
          <a:avLst/>
        </a:prstGeom>
        <a:solidFill>
          <a:schemeClr val="tx1">
            <a:alpha val="23000"/>
          </a:schemeClr>
        </a:solidFill>
        <a:ln>
          <a:noFill/>
        </a:ln>
        <a:effectLst>
          <a:glow rad="12700">
            <a:schemeClr val="accent2">
              <a:lumMod val="75000"/>
              <a:alpha val="18000"/>
            </a:schemeClr>
          </a:glow>
          <a:innerShdw blurRad="63500" dist="50800" dir="16200000">
            <a:prstClr val="black">
              <a:alpha val="50000"/>
            </a:prstClr>
          </a:innerShdw>
          <a:softEdge rad="889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165100</xdr:colOff>
      <xdr:row>18</xdr:row>
      <xdr:rowOff>76200</xdr:rowOff>
    </xdr:from>
    <xdr:to>
      <xdr:col>1</xdr:col>
      <xdr:colOff>546100</xdr:colOff>
      <xdr:row>20</xdr:row>
      <xdr:rowOff>177800</xdr:rowOff>
    </xdr:to>
    <xdr:sp macro="" textlink="">
      <xdr:nvSpPr>
        <xdr:cNvPr id="8" name="Rectangle: Rounded Corners 7">
          <a:extLst>
            <a:ext uri="{FF2B5EF4-FFF2-40B4-BE49-F238E27FC236}">
              <a16:creationId xmlns:a16="http://schemas.microsoft.com/office/drawing/2014/main" id="{6E346451-7F6A-4E1F-AE93-448AC9D29AAC}"/>
            </a:ext>
          </a:extLst>
        </xdr:cNvPr>
        <xdr:cNvSpPr/>
      </xdr:nvSpPr>
      <xdr:spPr>
        <a:xfrm>
          <a:off x="165100" y="3390900"/>
          <a:ext cx="990600" cy="469900"/>
        </a:xfrm>
        <a:prstGeom prst="roundRect">
          <a:avLst/>
        </a:prstGeom>
        <a:solidFill>
          <a:schemeClr val="tx1">
            <a:alpha val="23000"/>
          </a:schemeClr>
        </a:solidFill>
        <a:ln>
          <a:noFill/>
        </a:ln>
        <a:effectLst>
          <a:glow rad="12700">
            <a:schemeClr val="accent2">
              <a:lumMod val="75000"/>
              <a:alpha val="18000"/>
            </a:schemeClr>
          </a:glow>
          <a:innerShdw blurRad="63500" dist="50800" dir="16200000">
            <a:prstClr val="black">
              <a:alpha val="50000"/>
            </a:prstClr>
          </a:innerShdw>
          <a:softEdge rad="889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xdr:colOff>
      <xdr:row>5</xdr:row>
      <xdr:rowOff>88900</xdr:rowOff>
    </xdr:from>
    <xdr:to>
      <xdr:col>1</xdr:col>
      <xdr:colOff>520700</xdr:colOff>
      <xdr:row>7</xdr:row>
      <xdr:rowOff>19050</xdr:rowOff>
    </xdr:to>
    <xdr:sp macro="" textlink="">
      <xdr:nvSpPr>
        <xdr:cNvPr id="9" name="TextBox 8">
          <a:extLst>
            <a:ext uri="{FF2B5EF4-FFF2-40B4-BE49-F238E27FC236}">
              <a16:creationId xmlns:a16="http://schemas.microsoft.com/office/drawing/2014/main" id="{E2BC86F4-8931-4DD3-AA7A-42B904F4D489}"/>
            </a:ext>
          </a:extLst>
        </xdr:cNvPr>
        <xdr:cNvSpPr txBox="1"/>
      </xdr:nvSpPr>
      <xdr:spPr>
        <a:xfrm>
          <a:off x="69850" y="1009650"/>
          <a:ext cx="10604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bg1"/>
              </a:solidFill>
            </a:rPr>
            <a:t>Total Revenue</a:t>
          </a:r>
        </a:p>
      </xdr:txBody>
    </xdr:sp>
    <xdr:clientData/>
  </xdr:twoCellAnchor>
  <xdr:twoCellAnchor>
    <xdr:from>
      <xdr:col>0</xdr:col>
      <xdr:colOff>69850</xdr:colOff>
      <xdr:row>8</xdr:row>
      <xdr:rowOff>146050</xdr:rowOff>
    </xdr:from>
    <xdr:to>
      <xdr:col>1</xdr:col>
      <xdr:colOff>520700</xdr:colOff>
      <xdr:row>10</xdr:row>
      <xdr:rowOff>76200</xdr:rowOff>
    </xdr:to>
    <xdr:sp macro="" textlink="">
      <xdr:nvSpPr>
        <xdr:cNvPr id="10" name="TextBox 9">
          <a:extLst>
            <a:ext uri="{FF2B5EF4-FFF2-40B4-BE49-F238E27FC236}">
              <a16:creationId xmlns:a16="http://schemas.microsoft.com/office/drawing/2014/main" id="{C7C537A6-8967-4857-A589-D719BA736FC7}"/>
            </a:ext>
          </a:extLst>
        </xdr:cNvPr>
        <xdr:cNvSpPr txBox="1"/>
      </xdr:nvSpPr>
      <xdr:spPr>
        <a:xfrm>
          <a:off x="69850" y="1619250"/>
          <a:ext cx="10604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bg1"/>
              </a:solidFill>
            </a:rPr>
            <a:t>Total Quantity</a:t>
          </a:r>
        </a:p>
      </xdr:txBody>
    </xdr:sp>
    <xdr:clientData/>
  </xdr:twoCellAnchor>
  <xdr:twoCellAnchor>
    <xdr:from>
      <xdr:col>0</xdr:col>
      <xdr:colOff>69850</xdr:colOff>
      <xdr:row>12</xdr:row>
      <xdr:rowOff>19050</xdr:rowOff>
    </xdr:from>
    <xdr:to>
      <xdr:col>1</xdr:col>
      <xdr:colOff>520700</xdr:colOff>
      <xdr:row>13</xdr:row>
      <xdr:rowOff>133350</xdr:rowOff>
    </xdr:to>
    <xdr:sp macro="" textlink="">
      <xdr:nvSpPr>
        <xdr:cNvPr id="11" name="TextBox 10">
          <a:extLst>
            <a:ext uri="{FF2B5EF4-FFF2-40B4-BE49-F238E27FC236}">
              <a16:creationId xmlns:a16="http://schemas.microsoft.com/office/drawing/2014/main" id="{5D3DBE89-AE7F-4E3A-9891-32C074770695}"/>
            </a:ext>
          </a:extLst>
        </xdr:cNvPr>
        <xdr:cNvSpPr txBox="1"/>
      </xdr:nvSpPr>
      <xdr:spPr>
        <a:xfrm>
          <a:off x="69850" y="2228850"/>
          <a:ext cx="10604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bg1"/>
              </a:solidFill>
            </a:rPr>
            <a:t>Total Qty_Sold</a:t>
          </a:r>
        </a:p>
      </xdr:txBody>
    </xdr:sp>
    <xdr:clientData/>
  </xdr:twoCellAnchor>
  <xdr:twoCellAnchor>
    <xdr:from>
      <xdr:col>0</xdr:col>
      <xdr:colOff>69850</xdr:colOff>
      <xdr:row>15</xdr:row>
      <xdr:rowOff>76200</xdr:rowOff>
    </xdr:from>
    <xdr:to>
      <xdr:col>1</xdr:col>
      <xdr:colOff>520700</xdr:colOff>
      <xdr:row>17</xdr:row>
      <xdr:rowOff>6350</xdr:rowOff>
    </xdr:to>
    <xdr:sp macro="" textlink="">
      <xdr:nvSpPr>
        <xdr:cNvPr id="12" name="TextBox 11">
          <a:extLst>
            <a:ext uri="{FF2B5EF4-FFF2-40B4-BE49-F238E27FC236}">
              <a16:creationId xmlns:a16="http://schemas.microsoft.com/office/drawing/2014/main" id="{3EDE0CC8-9E92-4C01-8D8D-BE0E0272A2FA}"/>
            </a:ext>
          </a:extLst>
        </xdr:cNvPr>
        <xdr:cNvSpPr txBox="1"/>
      </xdr:nvSpPr>
      <xdr:spPr>
        <a:xfrm>
          <a:off x="69850" y="2838450"/>
          <a:ext cx="10604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bg1"/>
              </a:solidFill>
            </a:rPr>
            <a:t>Total Unsold</a:t>
          </a:r>
        </a:p>
      </xdr:txBody>
    </xdr:sp>
    <xdr:clientData/>
  </xdr:twoCellAnchor>
  <xdr:twoCellAnchor>
    <xdr:from>
      <xdr:col>0</xdr:col>
      <xdr:colOff>101600</xdr:colOff>
      <xdr:row>18</xdr:row>
      <xdr:rowOff>133350</xdr:rowOff>
    </xdr:from>
    <xdr:to>
      <xdr:col>1</xdr:col>
      <xdr:colOff>552450</xdr:colOff>
      <xdr:row>20</xdr:row>
      <xdr:rowOff>63500</xdr:rowOff>
    </xdr:to>
    <xdr:sp macro="" textlink="">
      <xdr:nvSpPr>
        <xdr:cNvPr id="13" name="TextBox 12">
          <a:extLst>
            <a:ext uri="{FF2B5EF4-FFF2-40B4-BE49-F238E27FC236}">
              <a16:creationId xmlns:a16="http://schemas.microsoft.com/office/drawing/2014/main" id="{A018C3DD-B6F8-4F0E-B819-3FD04266F2AB}"/>
            </a:ext>
          </a:extLst>
        </xdr:cNvPr>
        <xdr:cNvSpPr txBox="1"/>
      </xdr:nvSpPr>
      <xdr:spPr>
        <a:xfrm>
          <a:off x="101600" y="3448050"/>
          <a:ext cx="10604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bg1"/>
              </a:solidFill>
            </a:rPr>
            <a:t>Avg_Mtly_Sales</a:t>
          </a:r>
        </a:p>
      </xdr:txBody>
    </xdr:sp>
    <xdr:clientData/>
  </xdr:twoCellAnchor>
  <xdr:twoCellAnchor>
    <xdr:from>
      <xdr:col>0</xdr:col>
      <xdr:colOff>177800</xdr:colOff>
      <xdr:row>6</xdr:row>
      <xdr:rowOff>120650</xdr:rowOff>
    </xdr:from>
    <xdr:to>
      <xdr:col>1</xdr:col>
      <xdr:colOff>393700</xdr:colOff>
      <xdr:row>7</xdr:row>
      <xdr:rowOff>165100</xdr:rowOff>
    </xdr:to>
    <xdr:sp macro="" textlink="Sheet1!$A$3">
      <xdr:nvSpPr>
        <xdr:cNvPr id="14" name="TextBox 13">
          <a:extLst>
            <a:ext uri="{FF2B5EF4-FFF2-40B4-BE49-F238E27FC236}">
              <a16:creationId xmlns:a16="http://schemas.microsoft.com/office/drawing/2014/main" id="{531A74F5-817D-4015-B613-B954819909CF}"/>
            </a:ext>
          </a:extLst>
        </xdr:cNvPr>
        <xdr:cNvSpPr txBox="1"/>
      </xdr:nvSpPr>
      <xdr:spPr>
        <a:xfrm>
          <a:off x="177800" y="1225550"/>
          <a:ext cx="825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A193C4-9122-4AED-B92F-49E1B7815591}" type="TxLink">
            <a:rPr lang="en-US" sz="900" b="0" i="1" u="none" strike="noStrike">
              <a:solidFill>
                <a:schemeClr val="bg1"/>
              </a:solidFill>
              <a:latin typeface="Calibri"/>
              <a:ea typeface="Calibri"/>
              <a:cs typeface="Calibri"/>
            </a:rPr>
            <a:t>10,188,421</a:t>
          </a:fld>
          <a:endParaRPr lang="en-US" sz="900" b="1" i="1">
            <a:solidFill>
              <a:schemeClr val="bg1"/>
            </a:solidFill>
          </a:endParaRPr>
        </a:p>
      </xdr:txBody>
    </xdr:sp>
    <xdr:clientData/>
  </xdr:twoCellAnchor>
  <xdr:twoCellAnchor>
    <xdr:from>
      <xdr:col>0</xdr:col>
      <xdr:colOff>177800</xdr:colOff>
      <xdr:row>9</xdr:row>
      <xdr:rowOff>165100</xdr:rowOff>
    </xdr:from>
    <xdr:to>
      <xdr:col>1</xdr:col>
      <xdr:colOff>393700</xdr:colOff>
      <xdr:row>11</xdr:row>
      <xdr:rowOff>25400</xdr:rowOff>
    </xdr:to>
    <xdr:sp macro="" textlink="Sheet1!$B$3">
      <xdr:nvSpPr>
        <xdr:cNvPr id="15" name="TextBox 14">
          <a:extLst>
            <a:ext uri="{FF2B5EF4-FFF2-40B4-BE49-F238E27FC236}">
              <a16:creationId xmlns:a16="http://schemas.microsoft.com/office/drawing/2014/main" id="{2150ED03-9654-4C38-89D3-83A55CF54FC1}"/>
            </a:ext>
          </a:extLst>
        </xdr:cNvPr>
        <xdr:cNvSpPr txBox="1"/>
      </xdr:nvSpPr>
      <xdr:spPr>
        <a:xfrm>
          <a:off x="177800" y="1822450"/>
          <a:ext cx="825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D6344B-0586-423D-8693-A5E38B6C2AA6}" type="TxLink">
            <a:rPr lang="en-US" sz="900" b="0" i="1" u="none" strike="noStrike">
              <a:solidFill>
                <a:schemeClr val="bg1"/>
              </a:solidFill>
              <a:latin typeface="Calibri"/>
              <a:ea typeface="Calibri"/>
              <a:cs typeface="Calibri"/>
            </a:rPr>
            <a:t>1,069</a:t>
          </a:fld>
          <a:endParaRPr lang="en-US" sz="900" b="1" i="1">
            <a:solidFill>
              <a:schemeClr val="bg1"/>
            </a:solidFill>
          </a:endParaRPr>
        </a:p>
      </xdr:txBody>
    </xdr:sp>
    <xdr:clientData/>
  </xdr:twoCellAnchor>
  <xdr:twoCellAnchor>
    <xdr:from>
      <xdr:col>0</xdr:col>
      <xdr:colOff>177800</xdr:colOff>
      <xdr:row>13</xdr:row>
      <xdr:rowOff>25400</xdr:rowOff>
    </xdr:from>
    <xdr:to>
      <xdr:col>1</xdr:col>
      <xdr:colOff>393700</xdr:colOff>
      <xdr:row>14</xdr:row>
      <xdr:rowOff>69850</xdr:rowOff>
    </xdr:to>
    <xdr:sp macro="" textlink="Sheet1!$C$3">
      <xdr:nvSpPr>
        <xdr:cNvPr id="17" name="TextBox 16">
          <a:extLst>
            <a:ext uri="{FF2B5EF4-FFF2-40B4-BE49-F238E27FC236}">
              <a16:creationId xmlns:a16="http://schemas.microsoft.com/office/drawing/2014/main" id="{A7425A09-EA2F-4369-B3BE-7EC31A166354}"/>
            </a:ext>
          </a:extLst>
        </xdr:cNvPr>
        <xdr:cNvSpPr txBox="1"/>
      </xdr:nvSpPr>
      <xdr:spPr>
        <a:xfrm>
          <a:off x="177800" y="2419350"/>
          <a:ext cx="825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55A85B-1587-4D6E-B518-F0128E6C3AEE}" type="TxLink">
            <a:rPr lang="en-US" sz="900" b="0" i="1" u="none" strike="noStrike">
              <a:solidFill>
                <a:schemeClr val="bg1"/>
              </a:solidFill>
              <a:latin typeface="Calibri"/>
              <a:ea typeface="Calibri"/>
              <a:cs typeface="Calibri"/>
            </a:rPr>
            <a:t>425</a:t>
          </a:fld>
          <a:endParaRPr lang="en-US" sz="900" b="0" i="1">
            <a:solidFill>
              <a:schemeClr val="bg1"/>
            </a:solidFill>
          </a:endParaRPr>
        </a:p>
      </xdr:txBody>
    </xdr:sp>
    <xdr:clientData/>
  </xdr:twoCellAnchor>
  <xdr:twoCellAnchor>
    <xdr:from>
      <xdr:col>0</xdr:col>
      <xdr:colOff>177800</xdr:colOff>
      <xdr:row>16</xdr:row>
      <xdr:rowOff>69850</xdr:rowOff>
    </xdr:from>
    <xdr:to>
      <xdr:col>1</xdr:col>
      <xdr:colOff>393700</xdr:colOff>
      <xdr:row>17</xdr:row>
      <xdr:rowOff>114300</xdr:rowOff>
    </xdr:to>
    <xdr:sp macro="" textlink="Sheet1!$D$3">
      <xdr:nvSpPr>
        <xdr:cNvPr id="18" name="TextBox 17">
          <a:extLst>
            <a:ext uri="{FF2B5EF4-FFF2-40B4-BE49-F238E27FC236}">
              <a16:creationId xmlns:a16="http://schemas.microsoft.com/office/drawing/2014/main" id="{DD2D76B4-CD7B-4047-BA49-68F6FA4CDD10}"/>
            </a:ext>
          </a:extLst>
        </xdr:cNvPr>
        <xdr:cNvSpPr txBox="1"/>
      </xdr:nvSpPr>
      <xdr:spPr>
        <a:xfrm>
          <a:off x="177800" y="3016250"/>
          <a:ext cx="825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705C97-9290-44D0-ABA5-64D726C51538}" type="TxLink">
            <a:rPr lang="en-US" sz="900" b="0" i="1" u="none" strike="noStrike">
              <a:solidFill>
                <a:schemeClr val="bg1"/>
              </a:solidFill>
              <a:latin typeface="Calibri"/>
              <a:ea typeface="Calibri"/>
              <a:cs typeface="Calibri"/>
            </a:rPr>
            <a:t>644</a:t>
          </a:fld>
          <a:endParaRPr lang="en-US" sz="900" b="1" i="1">
            <a:solidFill>
              <a:schemeClr val="bg1"/>
            </a:solidFill>
          </a:endParaRPr>
        </a:p>
      </xdr:txBody>
    </xdr:sp>
    <xdr:clientData/>
  </xdr:twoCellAnchor>
  <xdr:twoCellAnchor>
    <xdr:from>
      <xdr:col>0</xdr:col>
      <xdr:colOff>177800</xdr:colOff>
      <xdr:row>19</xdr:row>
      <xdr:rowOff>114300</xdr:rowOff>
    </xdr:from>
    <xdr:to>
      <xdr:col>1</xdr:col>
      <xdr:colOff>393700</xdr:colOff>
      <xdr:row>20</xdr:row>
      <xdr:rowOff>158750</xdr:rowOff>
    </xdr:to>
    <xdr:sp macro="" textlink="Sheet1!$E$3">
      <xdr:nvSpPr>
        <xdr:cNvPr id="19" name="TextBox 18">
          <a:extLst>
            <a:ext uri="{FF2B5EF4-FFF2-40B4-BE49-F238E27FC236}">
              <a16:creationId xmlns:a16="http://schemas.microsoft.com/office/drawing/2014/main" id="{707DD9D3-98DD-44B8-B3C9-1DF7C8F969F2}"/>
            </a:ext>
          </a:extLst>
        </xdr:cNvPr>
        <xdr:cNvSpPr txBox="1"/>
      </xdr:nvSpPr>
      <xdr:spPr>
        <a:xfrm>
          <a:off x="177800" y="3613150"/>
          <a:ext cx="825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8156E6D-87B4-4589-A391-34A3DEC5ABDC}" type="TxLink">
            <a:rPr lang="en-US" sz="900" b="0" i="1" u="none" strike="noStrike">
              <a:solidFill>
                <a:schemeClr val="bg1"/>
              </a:solidFill>
              <a:latin typeface="Calibri"/>
              <a:ea typeface="Calibri"/>
              <a:cs typeface="Calibri"/>
            </a:rPr>
            <a:t>288,483</a:t>
          </a:fld>
          <a:endParaRPr lang="en-US" sz="900" b="1" i="1">
            <a:solidFill>
              <a:schemeClr val="bg1"/>
            </a:solidFill>
          </a:endParaRPr>
        </a:p>
      </xdr:txBody>
    </xdr:sp>
    <xdr:clientData/>
  </xdr:twoCellAnchor>
  <xdr:twoCellAnchor>
    <xdr:from>
      <xdr:col>2</xdr:col>
      <xdr:colOff>196277</xdr:colOff>
      <xdr:row>5</xdr:row>
      <xdr:rowOff>98425</xdr:rowOff>
    </xdr:from>
    <xdr:to>
      <xdr:col>7</xdr:col>
      <xdr:colOff>516952</xdr:colOff>
      <xdr:row>19</xdr:row>
      <xdr:rowOff>19050</xdr:rowOff>
    </xdr:to>
    <xdr:graphicFrame macro="">
      <xdr:nvGraphicFramePr>
        <xdr:cNvPr id="16" name="Chart 2">
          <a:extLst>
            <a:ext uri="{FF2B5EF4-FFF2-40B4-BE49-F238E27FC236}">
              <a16:creationId xmlns:a16="http://schemas.microsoft.com/office/drawing/2014/main" id="{6E061872-FCB8-4160-BFC6-A75B661D4A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587375</xdr:colOff>
      <xdr:row>5</xdr:row>
      <xdr:rowOff>92075</xdr:rowOff>
    </xdr:from>
    <xdr:to>
      <xdr:col>13</xdr:col>
      <xdr:colOff>469900</xdr:colOff>
      <xdr:row>19</xdr:row>
      <xdr:rowOff>19050</xdr:rowOff>
    </xdr:to>
    <xdr:graphicFrame macro="">
      <xdr:nvGraphicFramePr>
        <xdr:cNvPr id="20" name="Chart 3">
          <a:extLst>
            <a:ext uri="{FF2B5EF4-FFF2-40B4-BE49-F238E27FC236}">
              <a16:creationId xmlns:a16="http://schemas.microsoft.com/office/drawing/2014/main" id="{DE907887-923B-4F99-A13A-71CE86D767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577850</xdr:colOff>
      <xdr:row>19</xdr:row>
      <xdr:rowOff>33120</xdr:rowOff>
    </xdr:from>
    <xdr:to>
      <xdr:col>13</xdr:col>
      <xdr:colOff>474337</xdr:colOff>
      <xdr:row>31</xdr:row>
      <xdr:rowOff>2518</xdr:rowOff>
    </xdr:to>
    <xdr:graphicFrame macro="">
      <xdr:nvGraphicFramePr>
        <xdr:cNvPr id="22" name="Chart 6">
          <a:extLst>
            <a:ext uri="{FF2B5EF4-FFF2-40B4-BE49-F238E27FC236}">
              <a16:creationId xmlns:a16="http://schemas.microsoft.com/office/drawing/2014/main" id="{63B70EC5-8147-46DC-A6CA-43A198673B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600837</xdr:colOff>
      <xdr:row>10</xdr:row>
      <xdr:rowOff>117599</xdr:rowOff>
    </xdr:from>
    <xdr:to>
      <xdr:col>21</xdr:col>
      <xdr:colOff>99787</xdr:colOff>
      <xdr:row>17</xdr:row>
      <xdr:rowOff>102300</xdr:rowOff>
    </xdr:to>
    <mc:AlternateContent xmlns:mc="http://schemas.openxmlformats.org/markup-compatibility/2006">
      <mc:Choice xmlns:tsle="http://schemas.microsoft.com/office/drawing/2012/timeslicer" Requires="tsle">
        <xdr:graphicFrame macro="">
          <xdr:nvGraphicFramePr>
            <xdr:cNvPr id="23" name="order_date">
              <a:extLst>
                <a:ext uri="{FF2B5EF4-FFF2-40B4-BE49-F238E27FC236}">
                  <a16:creationId xmlns:a16="http://schemas.microsoft.com/office/drawing/2014/main" id="{7DA817ED-CD4D-42D5-99B2-6C75D86FC43A}"/>
                </a:ext>
              </a:extLst>
            </xdr:cNvPr>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8538337" y="1990035"/>
              <a:ext cx="4383565" cy="129540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175964</xdr:colOff>
      <xdr:row>19</xdr:row>
      <xdr:rowOff>33120</xdr:rowOff>
    </xdr:from>
    <xdr:to>
      <xdr:col>7</xdr:col>
      <xdr:colOff>520240</xdr:colOff>
      <xdr:row>31</xdr:row>
      <xdr:rowOff>10168</xdr:rowOff>
    </xdr:to>
    <xdr:graphicFrame macro="">
      <xdr:nvGraphicFramePr>
        <xdr:cNvPr id="25" name="Chart 7">
          <a:extLst>
            <a:ext uri="{FF2B5EF4-FFF2-40B4-BE49-F238E27FC236}">
              <a16:creationId xmlns:a16="http://schemas.microsoft.com/office/drawing/2014/main" id="{DD4553C7-1AB3-40F6-A244-56457E163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214140</xdr:colOff>
      <xdr:row>3</xdr:row>
      <xdr:rowOff>7652</xdr:rowOff>
    </xdr:from>
    <xdr:to>
      <xdr:col>13</xdr:col>
      <xdr:colOff>489638</xdr:colOff>
      <xdr:row>5</xdr:row>
      <xdr:rowOff>15303</xdr:rowOff>
    </xdr:to>
    <mc:AlternateContent xmlns:mc="http://schemas.openxmlformats.org/markup-compatibility/2006">
      <mc:Choice xmlns:a14="http://schemas.microsoft.com/office/drawing/2010/main" Requires="a14">
        <xdr:graphicFrame macro="">
          <xdr:nvGraphicFramePr>
            <xdr:cNvPr id="26" name="status">
              <a:extLst>
                <a:ext uri="{FF2B5EF4-FFF2-40B4-BE49-F238E27FC236}">
                  <a16:creationId xmlns:a16="http://schemas.microsoft.com/office/drawing/2014/main" id="{354EA8FA-5C0A-491A-8DD5-13AC24DA6805}"/>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1435294" y="569383"/>
              <a:ext cx="6991844" cy="382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574220</xdr:colOff>
      <xdr:row>7</xdr:row>
      <xdr:rowOff>136979</xdr:rowOff>
    </xdr:from>
    <xdr:to>
      <xdr:col>21</xdr:col>
      <xdr:colOff>154213</xdr:colOff>
      <xdr:row>9</xdr:row>
      <xdr:rowOff>172357</xdr:rowOff>
    </xdr:to>
    <mc:AlternateContent xmlns:mc="http://schemas.openxmlformats.org/markup-compatibility/2006">
      <mc:Choice xmlns:a14="http://schemas.microsoft.com/office/drawing/2010/main" Requires="a14">
        <xdr:graphicFrame macro="">
          <xdr:nvGraphicFramePr>
            <xdr:cNvPr id="29" name="category">
              <a:extLst>
                <a:ext uri="{FF2B5EF4-FFF2-40B4-BE49-F238E27FC236}">
                  <a16:creationId xmlns:a16="http://schemas.microsoft.com/office/drawing/2014/main" id="{A38D88DF-E6FB-43F2-93F4-56E008AE155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8511720" y="1447684"/>
              <a:ext cx="4464608" cy="4098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562430</xdr:colOff>
      <xdr:row>22</xdr:row>
      <xdr:rowOff>117925</xdr:rowOff>
    </xdr:from>
    <xdr:to>
      <xdr:col>15</xdr:col>
      <xdr:colOff>435430</xdr:colOff>
      <xdr:row>25</xdr:row>
      <xdr:rowOff>90711</xdr:rowOff>
    </xdr:to>
    <xdr:pic>
      <xdr:nvPicPr>
        <xdr:cNvPr id="31" name="Picture 30">
          <a:extLst>
            <a:ext uri="{FF2B5EF4-FFF2-40B4-BE49-F238E27FC236}">
              <a16:creationId xmlns:a16="http://schemas.microsoft.com/office/drawing/2014/main" id="{73C34CE1-0368-40AA-ADD4-DCC7ADF7889F}"/>
            </a:ext>
          </a:extLst>
        </xdr:cNvPr>
        <xdr:cNvPicPr>
          <a:picLocks noChangeAspect="1"/>
        </xdr:cNvPicPr>
      </xdr:nvPicPr>
      <xdr:blipFill>
        <a:blip xmlns:r="http://schemas.openxmlformats.org/officeDocument/2006/relationships" r:embed="rId5">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9071430" y="4109354"/>
          <a:ext cx="480786" cy="517071"/>
        </a:xfrm>
        <a:prstGeom prst="rect">
          <a:avLst/>
        </a:prstGeom>
      </xdr:spPr>
    </xdr:pic>
    <xdr:clientData/>
  </xdr:twoCellAnchor>
  <xdr:twoCellAnchor>
    <xdr:from>
      <xdr:col>14</xdr:col>
      <xdr:colOff>27217</xdr:colOff>
      <xdr:row>19</xdr:row>
      <xdr:rowOff>27214</xdr:rowOff>
    </xdr:from>
    <xdr:to>
      <xdr:col>21</xdr:col>
      <xdr:colOff>136073</xdr:colOff>
      <xdr:row>26</xdr:row>
      <xdr:rowOff>54428</xdr:rowOff>
    </xdr:to>
    <xdr:sp macro="" textlink="">
      <xdr:nvSpPr>
        <xdr:cNvPr id="32" name="TextBox 31">
          <a:extLst>
            <a:ext uri="{FF2B5EF4-FFF2-40B4-BE49-F238E27FC236}">
              <a16:creationId xmlns:a16="http://schemas.microsoft.com/office/drawing/2014/main" id="{9BB7D846-B703-46C2-9145-2128099592A5}"/>
            </a:ext>
          </a:extLst>
        </xdr:cNvPr>
        <xdr:cNvSpPr txBox="1"/>
      </xdr:nvSpPr>
      <xdr:spPr>
        <a:xfrm>
          <a:off x="8536217" y="3474357"/>
          <a:ext cx="4363356" cy="1297214"/>
        </a:xfrm>
        <a:prstGeom prst="rect">
          <a:avLst/>
        </a:prstGeom>
        <a:noFill/>
        <a:ln w="952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a:solidFill>
                <a:schemeClr val="bg1"/>
              </a:solidFill>
            </a:rPr>
            <a:t>SALES REPORT</a:t>
          </a:r>
          <a:r>
            <a:rPr lang="en-US" sz="3200" baseline="0">
              <a:solidFill>
                <a:schemeClr val="bg1"/>
              </a:solidFill>
            </a:rPr>
            <a:t> | 2024</a:t>
          </a:r>
          <a:endParaRPr lang="en-US" sz="3200">
            <a:solidFill>
              <a:schemeClr val="bg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6180554" backgroundQuery="1" createdVersion="7" refreshedVersion="7" minRefreshableVersion="3" recordCount="0" supportSubquery="1" supportAdvancedDrill="1" xr:uid="{3BD162FE-3332-4152-B8BC-D223CCCAD295}">
  <cacheSource type="external" connectionId="6"/>
  <cacheFields count="2">
    <cacheField name="[PRODUCTS].[category].[category]" caption="category" numFmtId="0" hierarchy="13" level="1">
      <sharedItems count="4">
        <s v="Accessories"/>
        <s v="Electronics"/>
        <s v="Furniture"/>
        <s v="Office Supplies"/>
      </sharedItems>
    </cacheField>
    <cacheField name="[Measures].[Sum of price]" caption="Sum of price" numFmtId="0" hierarchy="39" level="32767"/>
  </cacheFields>
  <cacheHierarchies count="40">
    <cacheHierarchy uniqueName="[A].[Measures]" caption="Measures" attribute="1" defaultMemberUniqueName="[A].[Measures].[All]" allUniqueName="[A].[Measures].[All]" dimensionUniqueName="[A]" displayFolder="" count="2" memberValueDatatype="130" unbalanced="0"/>
    <cacheHierarchy uniqueName="[CUSTOMER].[customer_id]" caption="customer_id" attribute="1" defaultMemberUniqueName="[CUSTOMER].[customer_id].[All]" allUniqueName="[CUSTOMER].[customer_id].[All]" dimensionUniqueName="[CUSTOMER]" displayFolder="" count="2" memberValueDatatype="20" unbalanced="0"/>
    <cacheHierarchy uniqueName="[CUSTOMER].[name]" caption="name" attribute="1" defaultMemberUniqueName="[CUSTOMER].[name].[All]" allUniqueName="[CUSTOMER].[name].[All]" dimensionUniqueName="[CUSTOMER]" displayFolder="" count="2" memberValueDatatype="130" unbalanced="0"/>
    <cacheHierarchy uniqueName="[CUSTOMER].[email]" caption="email" attribute="1" defaultMemberUniqueName="[CUSTOMER].[email].[All]" allUniqueName="[CUSTOMER].[email].[All]" dimensionUniqueName="[CUSTOMER]" displayFolder="" count="2" memberValueDatatype="130" unbalanced="0"/>
    <cacheHierarchy uniqueName="[CUSTOMER].[location]" caption="location" attribute="1" defaultMemberUniqueName="[CUSTOMER].[location].[All]" allUniqueName="[CUSTOMER].[location].[All]" dimensionUniqueName="[CUSTOMER]" displayFolder="" count="2" memberValueDatatype="130" unbalanced="0"/>
    <cacheHierarchy uniqueName="[CUSTOMER].[signup_date]" caption="signup_date" attribute="1" time="1" defaultMemberUniqueName="[CUSTOMER].[signup_date].[All]" allUniqueName="[CUSTOMER].[signup_date].[All]" dimensionUniqueName="[CUSTOMER]" displayFolder="" count="2" memberValueDatatype="7" unbalanced="0"/>
    <cacheHierarchy uniqueName="[ORDERDETAILS].[order_detail_id]" caption="order_detail_id" attribute="1" defaultMemberUniqueName="[ORDERDETAILS].[order_detail_id].[All]" allUniqueName="[ORDERDETAILS].[order_detail_id].[All]" dimensionUniqueName="[ORDERDETAILS]" displayFolder="" count="2" memberValueDatatype="20" unbalanced="0"/>
    <cacheHierarchy uniqueName="[ORDERDETAILS].[order_id]" caption="order_id" attribute="1" defaultMemberUniqueName="[ORDERDETAILS].[order_id].[All]" allUniqueName="[ORDERDETAILS].[order_id].[All]" dimensionUniqueName="[ORDERDETAILS]" displayFolder="" count="2" memberValueDatatype="20" unbalanced="0"/>
    <cacheHierarchy uniqueName="[ORDERDETAILS].[product_id]" caption="product_id" attribute="1" defaultMemberUniqueName="[ORDERDETAILS].[product_id].[All]" allUniqueName="[ORDERDETAILS].[product_id].[All]" dimensionUniqueName="[ORDERDETAILS]" displayFolder="" count="2" memberValueDatatype="20" unbalanced="0"/>
    <cacheHierarchy uniqueName="[ORDERDETAILS].[quantity]" caption="quantity" attribute="1" defaultMemberUniqueName="[ORDERDETAILS].[quantity].[All]" allUniqueName="[ORDERDETAILS].[quantity].[All]" dimensionUniqueName="[ORDERDETAILS]" displayFolder="" count="2" memberValueDatatype="20" unbalanced="0"/>
    <cacheHierarchy uniqueName="[ORDERDETAILS].[price]" caption="price" attribute="1" defaultMemberUniqueName="[ORDERDETAILS].[price].[All]" allUniqueName="[ORDERDETAILS].[price].[All]" dimensionUniqueName="[ORDERDETAILS]" displayFolder="" count="2" memberValueDatatype="6"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price]" caption="price" attribute="1" defaultMemberUniqueName="[PRODUCTS].[price].[All]" allUniqueName="[PRODUCTS].[price].[All]" dimensionUniqueName="[PRODUCTS]" displayFolder="" count="2" memberValueDatatype="6" unbalanced="0"/>
    <cacheHierarchy uniqueName="[PRODUCTS].[stock_quantity]" caption="stock_quantity" attribute="1" defaultMemberUniqueName="[PRODUCTS].[stock_quantity].[All]" allUniqueName="[PRODUCTS].[stock_quantity].[All]" dimensionUniqueName="[PRODUCTS]" displayFolder="" count="2" memberValueDatatype="20" unbalanced="0"/>
    <cacheHierarchy uniqueName="[SALESORDER].[order_id]" caption="order_id" attribute="1" defaultMemberUniqueName="[SALESORDER].[order_id].[All]" allUniqueName="[SALESORDER].[order_id].[All]" dimensionUniqueName="[SALESORDER]" displayFolder="" count="2" memberValueDatatype="20" unbalanced="0"/>
    <cacheHierarchy uniqueName="[SALESORDER].[customer_id]" caption="customer_id" attribute="1" defaultMemberUniqueName="[SALESORDER].[customer_id].[All]" allUniqueName="[SALESORDER].[customer_id].[All]" dimensionUniqueName="[SALESORDER]" displayFolder="" count="2"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2"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2"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oneField="1" hidden="1">
      <fieldsUsage count="1">
        <fieldUsage x="1"/>
      </fieldsUsage>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6875" backgroundQuery="1" createdVersion="7" refreshedVersion="7" minRefreshableVersion="3" recordCount="0" supportSubquery="1" supportAdvancedDrill="1" xr:uid="{E3D96961-8D54-4AF0-9219-8D39BE9F2E4B}">
  <cacheSource type="external" connectionId="6"/>
  <cacheFields count="5">
    <cacheField name="[Measures].[Total_Revenue]" caption="Total_Revenue" numFmtId="0" hierarchy="22" level="32767"/>
    <cacheField name="[Measures].[Total_Quantity]" caption="Total_Quantity" numFmtId="0" hierarchy="24" level="32767"/>
    <cacheField name="[Measures].[Total Quantity Sold]" caption="Total Quantity Sold" numFmtId="0" hierarchy="25" level="32767"/>
    <cacheField name="[Measures].[Total Unsold]" caption="Total Unsold" numFmtId="0" hierarchy="26" level="32767"/>
    <cacheField name="[Measures].[Average Monthly Sales]" caption="Average Monthly Sales" numFmtId="0" hierarchy="27"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oneField="1">
      <fieldsUsage count="1">
        <fieldUsage x="0"/>
      </fieldsUsage>
    </cacheHierarchy>
    <cacheHierarchy uniqueName="[Measures].[Monthly_Sales]" caption="Monthly_Sales" measure="1" displayFolder="" measureGroup="A" count="0"/>
    <cacheHierarchy uniqueName="[Measures].[Total_Quantity]" caption="Total_Quantity" measure="1" displayFolder="" measureGroup="A" count="0" oneField="1">
      <fieldsUsage count="1">
        <fieldUsage x="1"/>
      </fieldsUsage>
    </cacheHierarchy>
    <cacheHierarchy uniqueName="[Measures].[Total Quantity Sold]" caption="Total Quantity Sold" measure="1" displayFolder="" measureGroup="A" count="0" oneField="1">
      <fieldsUsage count="1">
        <fieldUsage x="2"/>
      </fieldsUsage>
    </cacheHierarchy>
    <cacheHierarchy uniqueName="[Measures].[Total Unsold]" caption="Total Unsold" measure="1" displayFolder="" measureGroup="A" count="0" oneField="1">
      <fieldsUsage count="1">
        <fieldUsage x="3"/>
      </fieldsUsage>
    </cacheHierarchy>
    <cacheHierarchy uniqueName="[Measures].[Average Monthly Sales]" caption="Average Monthly Sales" measure="1" displayFolder="" measureGroup="A" count="0" oneField="1">
      <fieldsUsage count="1">
        <fieldUsage x="4"/>
      </fieldsUsage>
    </cacheHierarchy>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7453701" backgroundQuery="1" createdVersion="7" refreshedVersion="7" minRefreshableVersion="3" recordCount="0" supportSubquery="1" supportAdvancedDrill="1" xr:uid="{3AEB601F-5D92-45C8-B10D-216E7209CE62}">
  <cacheSource type="external" connectionId="6"/>
  <cacheFields count="2">
    <cacheField name="[PRODUCTS].[category].[category]" caption="category" numFmtId="0" hierarchy="13" level="1">
      <sharedItems count="4">
        <s v="Accessories"/>
        <s v="Electronics"/>
        <s v="Furniture"/>
        <s v="Office Supplies"/>
      </sharedItems>
    </cacheField>
    <cacheField name="[Measures].[Sum of quantity]" caption="Sum of quantity" numFmtId="0" hierarchy="38"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8032409" backgroundQuery="1" createdVersion="7" refreshedVersion="7" minRefreshableVersion="3" recordCount="0" supportSubquery="1" supportAdvancedDrill="1" xr:uid="{7E51D583-7B3A-48BD-BBF6-D13013BBBC9D}">
  <cacheSource type="external" connectionId="6"/>
  <cacheFields count="2">
    <cacheField name="[CUSTOMER].[location].[location]" caption="location" numFmtId="0" hierarchy="4" level="1">
      <sharedItems count="5">
        <s v="Crawfordmouth"/>
        <s v="East Robertfort"/>
        <s v="Jenniferview"/>
        <s v="New Dustin"/>
        <s v="North Austin"/>
      </sharedItems>
    </cacheField>
    <cacheField name="[Measures].[Sum of total_amount]" caption="Sum of total_amount" numFmtId="0" hierarchy="34" level="32767"/>
  </cacheFields>
  <cacheHierarchies count="40">
    <cacheHierarchy uniqueName="[A].[Measures]" caption="Measures" attribute="1" defaultMemberUniqueName="[A].[Measures].[All]" allUniqueName="[A].[Measures].[All]" dimensionUniqueName="[A]" displayFolder="" count="2" memberValueDatatype="130" unbalanced="0"/>
    <cacheHierarchy uniqueName="[CUSTOMER].[customer_id]" caption="customer_id" attribute="1" defaultMemberUniqueName="[CUSTOMER].[customer_id].[All]" allUniqueName="[CUSTOMER].[customer_id].[All]" dimensionUniqueName="[CUSTOMER]" displayFolder="" count="2" memberValueDatatype="20" unbalanced="0"/>
    <cacheHierarchy uniqueName="[CUSTOMER].[name]" caption="name" attribute="1" defaultMemberUniqueName="[CUSTOMER].[name].[All]" allUniqueName="[CUSTOMER].[name].[All]" dimensionUniqueName="[CUSTOMER]" displayFolder="" count="2" memberValueDatatype="130" unbalanced="0"/>
    <cacheHierarchy uniqueName="[CUSTOMER].[email]" caption="email" attribute="1" defaultMemberUniqueName="[CUSTOMER].[email].[All]" allUniqueName="[CUSTOMER].[email].[All]" dimensionUniqueName="[CUSTOMER]" displayFolder="" count="2" memberValueDatatype="130" unbalanced="0"/>
    <cacheHierarchy uniqueName="[CUSTOMER].[location]" caption="location" attribute="1" defaultMemberUniqueName="[CUSTOMER].[location].[All]" allUniqueName="[CUSTOMER].[location].[All]" dimensionUniqueName="[CUSTOMER]" displayFolder="" count="2" memberValueDatatype="130" unbalanced="0">
      <fieldsUsage count="2">
        <fieldUsage x="-1"/>
        <fieldUsage x="0"/>
      </fieldsUsage>
    </cacheHierarchy>
    <cacheHierarchy uniqueName="[CUSTOMER].[signup_date]" caption="signup_date" attribute="1" time="1" defaultMemberUniqueName="[CUSTOMER].[signup_date].[All]" allUniqueName="[CUSTOMER].[signup_date].[All]" dimensionUniqueName="[CUSTOMER]" displayFolder="" count="2" memberValueDatatype="7" unbalanced="0"/>
    <cacheHierarchy uniqueName="[ORDERDETAILS].[order_detail_id]" caption="order_detail_id" attribute="1" defaultMemberUniqueName="[ORDERDETAILS].[order_detail_id].[All]" allUniqueName="[ORDERDETAILS].[order_detail_id].[All]" dimensionUniqueName="[ORDERDETAILS]" displayFolder="" count="2" memberValueDatatype="20" unbalanced="0"/>
    <cacheHierarchy uniqueName="[ORDERDETAILS].[order_id]" caption="order_id" attribute="1" defaultMemberUniqueName="[ORDERDETAILS].[order_id].[All]" allUniqueName="[ORDERDETAILS].[order_id].[All]" dimensionUniqueName="[ORDERDETAILS]" displayFolder="" count="2" memberValueDatatype="20" unbalanced="0"/>
    <cacheHierarchy uniqueName="[ORDERDETAILS].[product_id]" caption="product_id" attribute="1" defaultMemberUniqueName="[ORDERDETAILS].[product_id].[All]" allUniqueName="[ORDERDETAILS].[product_id].[All]" dimensionUniqueName="[ORDERDETAILS]" displayFolder="" count="2" memberValueDatatype="20" unbalanced="0"/>
    <cacheHierarchy uniqueName="[ORDERDETAILS].[quantity]" caption="quantity" attribute="1" defaultMemberUniqueName="[ORDERDETAILS].[quantity].[All]" allUniqueName="[ORDERDETAILS].[quantity].[All]" dimensionUniqueName="[ORDERDETAILS]" displayFolder="" count="2" memberValueDatatype="20" unbalanced="0"/>
    <cacheHierarchy uniqueName="[ORDERDETAILS].[price]" caption="price" attribute="1" defaultMemberUniqueName="[ORDERDETAILS].[price].[All]" allUniqueName="[ORDERDETAILS].[price].[All]" dimensionUniqueName="[ORDERDETAILS]" displayFolder="" count="2" memberValueDatatype="6"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6" unbalanced="0"/>
    <cacheHierarchy uniqueName="[PRODUCTS].[stock_quantity]" caption="stock_quantity" attribute="1" defaultMemberUniqueName="[PRODUCTS].[stock_quantity].[All]" allUniqueName="[PRODUCTS].[stock_quantity].[All]" dimensionUniqueName="[PRODUCTS]" displayFolder="" count="2" memberValueDatatype="20" unbalanced="0"/>
    <cacheHierarchy uniqueName="[SALESORDER].[order_id]" caption="order_id" attribute="1" defaultMemberUniqueName="[SALESORDER].[order_id].[All]" allUniqueName="[SALESORDER].[order_id].[All]" dimensionUniqueName="[SALESORDER]" displayFolder="" count="2" memberValueDatatype="20" unbalanced="0"/>
    <cacheHierarchy uniqueName="[SALESORDER].[customer_id]" caption="customer_id" attribute="1" defaultMemberUniqueName="[SALESORDER].[customer_id].[All]" allUniqueName="[SALESORDER].[customer_id].[All]" dimensionUniqueName="[SALESORDER]" displayFolder="" count="2"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2"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2"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8958333" backgroundQuery="1" createdVersion="7" refreshedVersion="7" minRefreshableVersion="3" recordCount="0" supportSubquery="1" supportAdvancedDrill="1" xr:uid="{C38BF063-1281-4A77-9AC2-5EC682670461}">
  <cacheSource type="external" connectionId="6"/>
  <cacheFields count="2">
    <cacheField name="[SALESORDER].[Month Name].[Month Name]" caption="Month Name" numFmtId="0" hierarchy="21" level="1">
      <sharedItems count="12">
        <s v="April"/>
        <s v="August"/>
        <s v="December"/>
        <s v="February"/>
        <s v="January"/>
        <s v="July"/>
        <s v="June"/>
        <s v="March"/>
        <s v="May"/>
        <s v="November"/>
        <s v="October"/>
        <s v="September"/>
      </sharedItems>
    </cacheField>
    <cacheField name="[Measures].[Sum of total_amount]" caption="Sum of total_amount" numFmtId="0" hierarchy="34"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2" memberValueDatatype="130" unbalanced="0">
      <fieldsUsage count="2">
        <fieldUsage x="-1"/>
        <fieldUsage x="0"/>
      </fieldsUsage>
    </cacheHierarchy>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6999652779" backgroundQuery="1" createdVersion="7" refreshedVersion="7" minRefreshableVersion="3" recordCount="0" supportSubquery="1" supportAdvancedDrill="1" xr:uid="{2A1D10BB-CDB1-481F-A1BD-FB42DDB7868F}">
  <cacheSource type="external" connectionId="6"/>
  <cacheFields count="2">
    <cacheField name="[SALESORDER].[Month Name].[Month Name]" caption="Month Name" numFmtId="0" hierarchy="21" level="1">
      <sharedItems count="5">
        <s v="August"/>
        <s v="February"/>
        <s v="July"/>
        <s v="June"/>
        <s v="March"/>
      </sharedItems>
    </cacheField>
    <cacheField name="[Measures].[Sum of total_amount]" caption="Sum of total_amount" numFmtId="0" hierarchy="34"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2" memberValueDatatype="130" unbalanced="0">
      <fieldsUsage count="2">
        <fieldUsage x="-1"/>
        <fieldUsage x="0"/>
      </fieldsUsage>
    </cacheHierarchy>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700023148" backgroundQuery="1" createdVersion="7" refreshedVersion="7" minRefreshableVersion="3" recordCount="0" supportSubquery="1" supportAdvancedDrill="1" xr:uid="{8DB1350C-0C85-4F7C-9C2B-C625492988A1}">
  <cacheSource type="external" connectionId="6"/>
  <cacheFields count="2">
    <cacheField name="[CUSTOMER].[name].[name]" caption="name" numFmtId="0" hierarchy="2" level="1">
      <sharedItems count="5">
        <s v="Brianna Daniels"/>
        <s v="Juan Davis"/>
        <s v="Karen Bishop"/>
        <s v="Zachary Hess"/>
        <s v="Zachary Underwood"/>
      </sharedItems>
    </cacheField>
    <cacheField name="[Measures].[Sum of total_amount]" caption="Sum of total_amount" numFmtId="0" hierarchy="34"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2" memberValueDatatype="130" unbalanced="0">
      <fieldsUsage count="2">
        <fieldUsage x="-1"/>
        <fieldUsage x="0"/>
      </fieldsUsage>
    </cacheHierarchy>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37000694442" backgroundQuery="1" createdVersion="7" refreshedVersion="7" minRefreshableVersion="3" recordCount="0" supportSubquery="1" supportAdvancedDrill="1" xr:uid="{C38925BC-BDB3-4903-9811-B9C0060779EB}">
  <cacheSource type="external" connectionId="6"/>
  <cacheFields count="2">
    <cacheField name="[SALESORDER].[status].[status]" caption="status" numFmtId="0" hierarchy="20" level="1">
      <sharedItems count="3">
        <s v="Cancelled"/>
        <s v="Completed"/>
        <s v="Pending"/>
      </sharedItems>
    </cacheField>
    <cacheField name="[Measures].[Count of order_id]" caption="Count of order_id" numFmtId="0" hierarchy="37" level="32767"/>
  </cacheFields>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fieldsUsage count="2">
        <fieldUsage x="-1"/>
        <fieldUsage x="0"/>
      </fieldsUsage>
    </cacheHierarchy>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dimensions count="6">
    <dimension name="A" uniqueName="[A]" caption="A"/>
    <dimension name="CUSTOMER" uniqueName="[CUSTOMER]" caption="CUSTOMER"/>
    <dimension measure="1" name="Measures" uniqueName="[Measures]" caption="Measures"/>
    <dimension name="ORDERDETAILS" uniqueName="[ORDERDETAILS]" caption="ORDERDETAILS"/>
    <dimension name="PRODUCTS" uniqueName="[PRODUCTS]" caption="PRODUCTS"/>
    <dimension name="SALESORDER" uniqueName="[SALESORDER]" caption="SALESORDER"/>
  </dimensions>
  <measureGroups count="5">
    <measureGroup name="A" caption="A"/>
    <measureGroup name="CUSTOMER" caption="CUSTOMER"/>
    <measureGroup name="ORDERDETAILS" caption="ORDERDETAILS"/>
    <measureGroup name="PRODUCTS" caption="PRODUCTS"/>
    <measureGroup name="SALESORDER" caption="SALESORDER"/>
  </measureGroups>
  <maps count="9">
    <map measureGroup="0" dimension="0"/>
    <map measureGroup="1" dimension="1"/>
    <map measureGroup="2" dimension="1"/>
    <map measureGroup="2" dimension="3"/>
    <map measureGroup="2" dimension="4"/>
    <map measureGroup="2" dimension="5"/>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089621296298" backgroundQuery="1" createdVersion="3" refreshedVersion="7" minRefreshableVersion="3" recordCount="0" supportSubquery="1" supportAdvancedDrill="1" xr:uid="{9CB8140F-8083-4A8E-9F6D-39F2E9CD6505}">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0"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2"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915837163"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122588888888" backgroundQuery="1" createdVersion="3" refreshedVersion="7" minRefreshableVersion="3" recordCount="0" supportSubquery="1" supportAdvancedDrill="1" xr:uid="{813E6969-F5A5-4F36-B438-28C7AC55BF90}">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0"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0"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927608893"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edeema" refreshedDate="45671.080140046295" backgroundQuery="1" createdVersion="3" refreshedVersion="7" minRefreshableVersion="3" recordCount="0" supportSubquery="1" supportAdvancedDrill="1" xr:uid="{EB0BB795-F19A-4D4E-969A-17CB2D266D91}">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A].[Measures]" caption="Measures" attribute="1" defaultMemberUniqueName="[A].[Measures].[All]" allUniqueName="[A].[Measures].[All]" dimensionUniqueName="[A]" displayFolder="" count="0" memberValueDatatype="130" unbalanced="0"/>
    <cacheHierarchy uniqueName="[CUSTOMER].[customer_id]" caption="customer_id" attribute="1" defaultMemberUniqueName="[CUSTOMER].[customer_id].[All]" allUniqueName="[CUSTOMER].[customer_id].[All]" dimensionUniqueName="[CUSTOMER]" displayFolder="" count="0" memberValueDatatype="20" unbalanced="0"/>
    <cacheHierarchy uniqueName="[CUSTOMER].[name]" caption="name" attribute="1" defaultMemberUniqueName="[CUSTOMER].[name].[All]" allUniqueName="[CUSTOMER].[name].[All]" dimensionUniqueName="[CUSTOMER]" displayFolder="" count="0" memberValueDatatype="130" unbalanced="0"/>
    <cacheHierarchy uniqueName="[CUSTOMER].[email]" caption="email" attribute="1" defaultMemberUniqueName="[CUSTOMER].[email].[All]" allUniqueName="[CUSTOMER].[email].[All]" dimensionUniqueName="[CUSTOMER]" displayFolder="" count="0" memberValueDatatype="130" unbalanced="0"/>
    <cacheHierarchy uniqueName="[CUSTOMER].[location]" caption="location" attribute="1" defaultMemberUniqueName="[CUSTOMER].[location].[All]" allUniqueName="[CUSTOMER].[location].[All]" dimensionUniqueName="[CUSTOMER]" displayFolder="" count="0" memberValueDatatype="130" unbalanced="0"/>
    <cacheHierarchy uniqueName="[CUSTOMER].[signup_date]" caption="signup_date" attribute="1" time="1" defaultMemberUniqueName="[CUSTOMER].[signup_date].[All]" allUniqueName="[CUSTOMER].[signup_date].[All]" dimensionUniqueName="[CUSTOMER]" displayFolder="" count="0" memberValueDatatype="7" unbalanced="0"/>
    <cacheHierarchy uniqueName="[ORDERDETAILS].[order_detail_id]" caption="order_detail_id" attribute="1" defaultMemberUniqueName="[ORDERDETAILS].[order_detail_id].[All]" allUniqueName="[ORDERDETAILS].[order_detail_id].[All]" dimensionUniqueName="[ORDERDETAILS]" displayFolder="" count="0" memberValueDatatype="20" unbalanced="0"/>
    <cacheHierarchy uniqueName="[ORDERDETAILS].[order_id]" caption="order_id" attribute="1" defaultMemberUniqueName="[ORDERDETAILS].[order_id].[All]" allUniqueName="[ORDERDETAILS].[order_id].[All]" dimensionUniqueName="[ORDERDETAILS]" displayFolder="" count="0" memberValueDatatype="20" unbalanced="0"/>
    <cacheHierarchy uniqueName="[ORDERDETAILS].[product_id]" caption="product_id" attribute="1" defaultMemberUniqueName="[ORDERDETAILS].[product_id].[All]" allUniqueName="[ORDERDETAILS].[product_id].[All]" dimensionUniqueName="[ORDERDETAILS]" displayFolder="" count="0" memberValueDatatype="20" unbalanced="0"/>
    <cacheHierarchy uniqueName="[ORDERDETAILS].[quantity]" caption="quantity" attribute="1" defaultMemberUniqueName="[ORDERDETAILS].[quantity].[All]" allUniqueName="[ORDERDETAILS].[quantity].[All]" dimensionUniqueName="[ORDERDETAILS]" displayFolder="" count="0" memberValueDatatype="20" unbalanced="0"/>
    <cacheHierarchy uniqueName="[ORDERDETAILS].[price]" caption="price" attribute="1" defaultMemberUniqueName="[ORDERDETAILS].[price].[All]" allUniqueName="[ORDERDETAILS].[price].[All]" dimensionUniqueName="[ORDERDETAILS]" displayFolder="" count="0" memberValueDatatype="6"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6" unbalanced="0"/>
    <cacheHierarchy uniqueName="[PRODUCTS].[stock_quantity]" caption="stock_quantity" attribute="1" defaultMemberUniqueName="[PRODUCTS].[stock_quantity].[All]" allUniqueName="[PRODUCTS].[stock_quantity].[All]" dimensionUniqueName="[PRODUCTS]" displayFolder="" count="0" memberValueDatatype="20" unbalanced="0"/>
    <cacheHierarchy uniqueName="[SALESORDER].[order_id]" caption="order_id" attribute="1" defaultMemberUniqueName="[SALESORDER].[order_id].[All]" allUniqueName="[SALESORDER].[order_id].[All]" dimensionUniqueName="[SALESORDER]" displayFolder="" count="0" memberValueDatatype="20" unbalanced="0"/>
    <cacheHierarchy uniqueName="[SALESORDER].[customer_id]" caption="customer_id" attribute="1" defaultMemberUniqueName="[SALESORDER].[customer_id].[All]" allUniqueName="[SALESORDER].[customer_id].[All]" dimensionUniqueName="[SALESORDER]" displayFolder="" count="0" memberValueDatatype="20" unbalanced="0"/>
    <cacheHierarchy uniqueName="[SALESORDER].[order_date]" caption="order_date" attribute="1" time="1" defaultMemberUniqueName="[SALESORDER].[order_date].[All]" allUniqueName="[SALESORDER].[order_date].[All]" dimensionUniqueName="[SALESORDER]" displayFolder="" count="2" memberValueDatatype="7" unbalanced="0"/>
    <cacheHierarchy uniqueName="[SALESORDER].[total_amount]" caption="total_amount" attribute="1" defaultMemberUniqueName="[SALESORDER].[total_amount].[All]" allUniqueName="[SALESORDER].[total_amount].[All]" dimensionUniqueName="[SALESORDER]" displayFolder="" count="0" memberValueDatatype="6" unbalanced="0"/>
    <cacheHierarchy uniqueName="[SALESORDER].[status]" caption="status" attribute="1" defaultMemberUniqueName="[SALESORDER].[status].[All]" allUniqueName="[SALESORDER].[status].[All]" dimensionUniqueName="[SALESORDER]" displayFolder="" count="0" memberValueDatatype="130" unbalanced="0"/>
    <cacheHierarchy uniqueName="[SALESORDER].[Month Name]" caption="Month Name" attribute="1" defaultMemberUniqueName="[SALESORDER].[Month Name].[All]" allUniqueName="[SALESORDER].[Month Name].[All]" dimensionUniqueName="[SALESORDER]" displayFolder="" count="0" memberValueDatatype="130" unbalanced="0"/>
    <cacheHierarchy uniqueName="[Measures].[Total_Revenue]" caption="Total_Revenue" measure="1" displayFolder="" measureGroup="A" count="0"/>
    <cacheHierarchy uniqueName="[Measures].[Monthly_Sales]" caption="Monthly_Sales" measure="1" displayFolder="" measureGroup="A" count="0"/>
    <cacheHierarchy uniqueName="[Measures].[Total_Quantity]" caption="Total_Quantity" measure="1" displayFolder="" measureGroup="A" count="0"/>
    <cacheHierarchy uniqueName="[Measures].[Total Quantity Sold]" caption="Total Quantity Sold" measure="1" displayFolder="" measureGroup="A" count="0"/>
    <cacheHierarchy uniqueName="[Measures].[Total Unsold]" caption="Total Unsold" measure="1" displayFolder="" measureGroup="A" count="0"/>
    <cacheHierarchy uniqueName="[Measures].[Average Monthly Sales]" caption="Average Monthly Sales" measure="1" displayFolder="" measureGroup="A" count="0"/>
    <cacheHierarchy uniqueName="[Measures].[__XL_Count CUSTOMER]" caption="__XL_Count CUSTOMER" measure="1" displayFolder="" measureGroup="CUSTOMER" count="0" hidden="1"/>
    <cacheHierarchy uniqueName="[Measures].[__XL_Count ORDERDETAILS]" caption="__XL_Count ORDERDETAILS" measure="1" displayFolder="" measureGroup="ORDERDETAILS" count="0" hidden="1"/>
    <cacheHierarchy uniqueName="[Measures].[__XL_Count PRODUCTS]" caption="__XL_Count PRODUCTS" measure="1" displayFolder="" measureGroup="PRODUCTS" count="0" hidden="1"/>
    <cacheHierarchy uniqueName="[Measures].[__XL_Count SALESORDER]" caption="__XL_Count SALESORDER" measure="1" displayFolder="" measureGroup="SALESORD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total_amount]" caption="Sum of total_amount" measure="1" displayFolder="" measureGroup="SALESORDER" count="0" hidden="1">
      <extLst>
        <ext xmlns:x15="http://schemas.microsoft.com/office/spreadsheetml/2010/11/main" uri="{B97F6D7D-B522-45F9-BDA1-12C45D357490}">
          <x15:cacheHierarchy aggregatedColumn="19"/>
        </ext>
      </extLst>
    </cacheHierarchy>
    <cacheHierarchy uniqueName="[Measures].[Count of status]" caption="Count of status" measure="1" displayFolder="" measureGroup="SALESORDER" count="0" hidden="1">
      <extLst>
        <ext xmlns:x15="http://schemas.microsoft.com/office/spreadsheetml/2010/11/main" uri="{B97F6D7D-B522-45F9-BDA1-12C45D357490}">
          <x15:cacheHierarchy aggregatedColumn="20"/>
        </ext>
      </extLst>
    </cacheHierarchy>
    <cacheHierarchy uniqueName="[Measures].[Sum of order_id]" caption="Sum of order_id" measure="1" displayFolder="" measureGroup="SALESORDER" count="0" hidden="1">
      <extLst>
        <ext xmlns:x15="http://schemas.microsoft.com/office/spreadsheetml/2010/11/main" uri="{B97F6D7D-B522-45F9-BDA1-12C45D357490}">
          <x15:cacheHierarchy aggregatedColumn="16"/>
        </ext>
      </extLst>
    </cacheHierarchy>
    <cacheHierarchy uniqueName="[Measures].[Count of order_id]" caption="Count of order_id" measure="1" displayFolder="" measureGroup="SALESORDER" count="0" hidden="1">
      <extLst>
        <ext xmlns:x15="http://schemas.microsoft.com/office/spreadsheetml/2010/11/main" uri="{B97F6D7D-B522-45F9-BDA1-12C45D357490}">
          <x15:cacheHierarchy aggregatedColumn="16"/>
        </ext>
      </extLst>
    </cacheHierarchy>
    <cacheHierarchy uniqueName="[Measures].[Sum of quantity]" caption="Sum of quantity" measure="1" displayFolder="" measureGroup="ORDERDETAILS" count="0" hidden="1">
      <extLst>
        <ext xmlns:x15="http://schemas.microsoft.com/office/spreadsheetml/2010/11/main" uri="{B97F6D7D-B522-45F9-BDA1-12C45D357490}">
          <x15:cacheHierarchy aggregatedColumn="9"/>
        </ext>
      </extLst>
    </cacheHierarchy>
    <cacheHierarchy uniqueName="[Measures].[Sum of price]" caption="Sum of price" measure="1" displayFolder="" measureGroup="PRODUCTS"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pivotCacheId="48812064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DD9666-6452-4EA3-B01F-4B20DE11A199}" name="PivotTable12" cacheId="755" applyNumberFormats="0" applyBorderFormats="0" applyFontFormats="0" applyPatternFormats="0" applyAlignmentFormats="0" applyWidthHeightFormats="1" dataCaption="Values" tag="65985fce-7184-48e5-ac5e-c113588a521d" updatedVersion="7" minRefreshableVersion="5" useAutoFormatting="1" itemPrintTitles="1" createdVersion="7" indent="0" outline="1" outlineData="1" multipleFieldFilters="0" chartFormat="3" rowHeaderCaption="Location">
  <location ref="D30:E36" firstHeaderRow="1" firstDataRow="1" firstDataCol="1"/>
  <pivotFields count="2">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i>
    <i>
      <x v="4"/>
    </i>
    <i>
      <x v="2"/>
    </i>
    <i>
      <x v="3"/>
    </i>
    <i>
      <x v="1"/>
    </i>
    <i t="grand">
      <x/>
    </i>
  </rowItems>
  <colItems count="1">
    <i/>
  </colItems>
  <dataFields count="1">
    <dataField name="Sum of total_amount" fld="1" baseField="0" baseItem="0"/>
  </dataFields>
  <chartFormats count="1">
    <chartFormat chart="2" format="1"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0177D3-920E-4DF4-8D40-7B90A03EDCC6}" name="PivotTable11" cacheId="746" applyNumberFormats="0" applyBorderFormats="0" applyFontFormats="0" applyPatternFormats="0" applyAlignmentFormats="0" applyWidthHeightFormats="1" dataCaption="Values" tag="d59470c5-85f0-4d95-8e1f-2da7eeaaefe0" updatedVersion="7" minRefreshableVersion="5" useAutoFormatting="1" itemPrintTitles="1" createdVersion="7" indent="0" outline="1" outlineData="1" multipleFieldFilters="0" chartFormat="5" rowHeaderCaption="Product Category">
  <location ref="A30:B35"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Sum of price" fld="1" baseField="0" baseItem="0"/>
  </dataFields>
  <chartFormats count="1">
    <chartFormat chart="4" format="1"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5F1E36-4A70-4674-836A-1D7C16A798D4}" name="PivotTable10" cacheId="752" applyNumberFormats="0" applyBorderFormats="0" applyFontFormats="0" applyPatternFormats="0" applyAlignmentFormats="0" applyWidthHeightFormats="1" dataCaption="Values" tag="6f401051-9c6a-4040-b5e5-72e0830c115f" updatedVersion="7" minRefreshableVersion="5" useAutoFormatting="1" itemPrintTitles="1" createdVersion="7" indent="0" outline="1" outlineData="1" multipleFieldFilters="0">
  <location ref="D23:E28"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Sum of quantity" fld="1"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DETAILS]"/>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B7262E-358A-4D76-AB38-AD95B638E2BD}" name="PivotTable9" cacheId="767" applyNumberFormats="0" applyBorderFormats="0" applyFontFormats="0" applyPatternFormats="0" applyAlignmentFormats="0" applyWidthHeightFormats="1" dataCaption="Values" tag="b2c04014-c056-4ac1-a5e1-16f6cf0245fb" updatedVersion="7" minRefreshableVersion="5" useAutoFormatting="1" itemPrintTitles="1" createdVersion="7" indent="0" outline="1" outlineData="1" multipleFieldFilters="0" chartFormat="9" rowHeaderCaption="Status">
  <location ref="A22:B2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Count of order_id" fld="1" subtotal="count"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C00E66-6359-4E40-AA32-AC8B665F3EC9}" name="PivotTable5" cacheId="764" applyNumberFormats="0" applyBorderFormats="0" applyFontFormats="0" applyPatternFormats="0" applyAlignmentFormats="0" applyWidthHeightFormats="1" dataCaption="Values" tag="715ee46d-6296-42d5-9a06-723470151d82" updatedVersion="7" minRefreshableVersion="5" useAutoFormatting="1" itemPrintTitles="1" createdVersion="7" indent="0" outline="1" outlineData="1" multipleFieldFilters="0" chartFormat="6" rowHeaderCaption="Customers">
  <location ref="D15:E21" firstHeaderRow="1" firstDataRow="1" firstDataCol="1"/>
  <pivotFields count="2">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i>
    <i>
      <x v="4"/>
    </i>
    <i>
      <x v="1"/>
    </i>
    <i>
      <x v="2"/>
    </i>
    <i t="grand">
      <x/>
    </i>
  </rowItems>
  <colItems count="1">
    <i/>
  </colItems>
  <dataFields count="1">
    <dataField name="Sum of total_amount" fld="1" baseField="0" baseItem="0"/>
  </dataFields>
  <chartFormats count="1">
    <chartFormat chart="5" format="1"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4">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72A703-EB9A-4DFC-AE63-AFF6BFAFFF9B}" name="PivotTable3" cacheId="761" applyNumberFormats="0" applyBorderFormats="0" applyFontFormats="0" applyPatternFormats="0" applyAlignmentFormats="0" applyWidthHeightFormats="1" dataCaption="Values" tag="0fc4e0fd-3838-4088-81d0-078400b86909" updatedVersion="7" minRefreshableVersion="5" useAutoFormatting="1" itemPrintTitles="1" createdVersion="7" indent="0" outline="1" outlineData="1" multipleFieldFilters="0" rowHeaderCaption="Month">
  <location ref="D6:E12"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otal_amount" fld="1"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CF092F-A863-49CA-ADA1-EAA91797A861}" name="PivotTable2" cacheId="758" applyNumberFormats="0" applyBorderFormats="0" applyFontFormats="0" applyPatternFormats="0" applyAlignmentFormats="0" applyWidthHeightFormats="1" dataCaption="Values" tag="50fe5e0b-8ef5-45df-9e07-e524cb7ca338" updatedVersion="7" minRefreshableVersion="5" visualTotals="0" enableDrill="0" useAutoFormatting="1" subtotalHiddenItems="1" itemPrintTitles="1" createdVersion="7" indent="0" outline="1" outlineData="1" multipleFieldFilters="0" chartFormat="16" rowHeaderCaption="Month" fieldListSortAscending="1">
  <location ref="A6:B19" firstHeaderRow="1" firstDataRow="1" firstDataCol="1"/>
  <pivotFields count="2">
    <pivotField axis="axisRow" allDrilled="1" subtotalTop="0" showAll="0" defaultSubtotal="0" defaultAttributeDrillState="1">
      <items count="12">
        <item x="4"/>
        <item x="3"/>
        <item x="7"/>
        <item x="0"/>
        <item x="1"/>
        <item x="2"/>
        <item x="5"/>
        <item x="6"/>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total_amount" fld="1" baseField="0" baseItem="0"/>
  </dataFields>
  <conditionalFormats count="1">
    <conditionalFormat priority="1">
      <pivotAreas count="1">
        <pivotArea fieldPosition="0">
          <references count="1">
            <reference field="0" count="0"/>
          </references>
        </pivotArea>
      </pivotAreas>
    </conditionalFormat>
  </conditionalFormats>
  <chartFormats count="1">
    <chartFormat chart="15" format="1"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054E5E-BF15-4EF5-A437-BE9EEC154AFF}" name="PivotTable1" cacheId="749" applyNumberFormats="0" applyBorderFormats="0" applyFontFormats="0" applyPatternFormats="0" applyAlignmentFormats="0" applyWidthHeightFormats="1" dataCaption="Values" tag="73983ce9-bfc0-4431-b1e5-84efa2fd6ab3" updatedVersion="7" minRefreshableVersion="5" useAutoFormatting="1" itemPrintTitles="1" createdVersion="7" indent="0" outline="1" outlineData="1" multipleFieldFilters="0">
  <location ref="A2:E3"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13AB4B51-5DCF-4D79-BB34-AAEBC5F82A23}" sourceName="[SALESORDER].[status]">
  <pivotTables>
    <pivotTable tabId="1" name="PivotTable12"/>
    <pivotTable tabId="1" name="PivotTable1"/>
    <pivotTable tabId="1" name="PivotTable10"/>
    <pivotTable tabId="1" name="PivotTable11"/>
    <pivotTable tabId="1" name="PivotTable2"/>
    <pivotTable tabId="1" name="PivotTable3"/>
    <pivotTable tabId="1" name="PivotTable5"/>
    <pivotTable tabId="1" name="PivotTable9"/>
  </pivotTables>
  <data>
    <olap pivotCacheId="1915837163">
      <levels count="2">
        <level uniqueName="[SALESORDER].[status].[(All)]" sourceCaption="(All)" count="0"/>
        <level uniqueName="[SALESORDER].[status].[status]" sourceCaption="status" count="3">
          <ranges>
            <range startItem="0">
              <i n="[SALESORDER].[status].&amp;[Cancelled]" c="Cancelled"/>
              <i n="[SALESORDER].[status].&amp;[Completed]" c="Completed"/>
              <i n="[SALESORDER].[status].&amp;[Pending]" c="Pending"/>
            </range>
          </ranges>
        </level>
      </levels>
      <selections count="1">
        <selection n="[SALESORDER].[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B042439-C34F-457D-82A3-18A34D611F07}" sourceName="[PRODUCTS].[category]">
  <pivotTables>
    <pivotTable tabId="1" name="PivotTable11"/>
  </pivotTables>
  <data>
    <olap pivotCacheId="927608893">
      <levels count="2">
        <level uniqueName="[PRODUCTS].[category].[(All)]" sourceCaption="(All)" count="0"/>
        <level uniqueName="[PRODUCTS].[category].[category]" sourceCaption="category" count="4">
          <ranges>
            <range startItem="0">
              <i n="[PRODUCTS].[category].&amp;[Accessories]" c="Accessories"/>
              <i n="[PRODUCTS].[category].&amp;[Electronics]" c="Electronics"/>
              <i n="[PRODUCTS].[category].&amp;[Furniture]" c="Furniture"/>
              <i n="[PRODUCTS].[category].&amp;[Office Supplies]" c="Office Supplies"/>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23E1B2B6-8CD7-4599-ABA9-86D211208469}" cache="Slicer_status" caption="status" columnCount="3" showCaption="0" level="1" style="SlicerStyleDark2 2" rowHeight="241300"/>
  <slicer name="category" xr10:uid="{673F4BBB-438B-4BA4-98C1-7E335E7A36F0}" cache="Slicer_category" caption="category" columnCount="4" showCaption="0" level="1" style="SlicerStyleDark2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94852ADB-AE16-4783-B564-6D7DD6F929D5}" sourceName="[SALESORDER].[order_date]">
  <pivotTables>
    <pivotTable tabId="1" name="PivotTable11"/>
    <pivotTable tabId="1" name="PivotTable1"/>
    <pivotTable tabId="1" name="PivotTable10"/>
    <pivotTable tabId="1" name="PivotTable12"/>
    <pivotTable tabId="1" name="PivotTable2"/>
    <pivotTable tabId="1" name="PivotTable3"/>
    <pivotTable tabId="1" name="PivotTable5"/>
    <pivotTable tabId="1" name="PivotTable9"/>
  </pivotTables>
  <state minimalRefreshVersion="6" lastRefreshVersion="6" pivotCacheId="488120641"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496B664A-DCC8-44E8-8D2C-FEF7F74C534C}" cache="Timeline_order_date" caption="order_date" showHeader="0" level="1" selectionLevel="1" scrollPosition="2024-01-01T00:00:00" style="TimeSlicerStyleDark2 2"/>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255B1-833B-4CFC-8B46-D5025AA56E3F}">
  <dimension ref="A1:E36"/>
  <sheetViews>
    <sheetView topLeftCell="A13" workbookViewId="0">
      <selection activeCell="E9" sqref="E9"/>
    </sheetView>
  </sheetViews>
  <sheetFormatPr defaultRowHeight="14.5" x14ac:dyDescent="0.35"/>
  <cols>
    <col min="1" max="1" width="10.7265625" bestFit="1" customWidth="1"/>
    <col min="2" max="2" width="15.81640625" bestFit="1" customWidth="1"/>
    <col min="3" max="3" width="17.08984375" bestFit="1" customWidth="1"/>
    <col min="4" max="4" width="17.81640625" bestFit="1" customWidth="1"/>
    <col min="5" max="6" width="18.90625" bestFit="1" customWidth="1"/>
    <col min="7" max="14" width="4.81640625" bestFit="1" customWidth="1"/>
    <col min="15" max="123" width="5.81640625" bestFit="1" customWidth="1"/>
    <col min="124" max="124" width="10.7265625" bestFit="1" customWidth="1"/>
  </cols>
  <sheetData>
    <row r="1" spans="1:5" x14ac:dyDescent="0.35">
      <c r="A1" s="1"/>
    </row>
    <row r="2" spans="1:5" x14ac:dyDescent="0.35">
      <c r="A2" t="s">
        <v>0</v>
      </c>
      <c r="B2" t="s">
        <v>1</v>
      </c>
      <c r="C2" t="s">
        <v>2</v>
      </c>
      <c r="D2" t="s">
        <v>3</v>
      </c>
      <c r="E2" t="s">
        <v>4</v>
      </c>
    </row>
    <row r="3" spans="1:5" x14ac:dyDescent="0.35">
      <c r="A3" s="2">
        <v>10188421</v>
      </c>
      <c r="B3" s="2">
        <v>1069</v>
      </c>
      <c r="C3" s="2">
        <v>425</v>
      </c>
      <c r="D3" s="2">
        <v>644</v>
      </c>
      <c r="E3" s="2">
        <v>288482.75</v>
      </c>
    </row>
    <row r="6" spans="1:5" x14ac:dyDescent="0.35">
      <c r="A6" s="3" t="s">
        <v>20</v>
      </c>
      <c r="B6" t="s">
        <v>19</v>
      </c>
      <c r="D6" s="3" t="s">
        <v>20</v>
      </c>
      <c r="E6" t="s">
        <v>19</v>
      </c>
    </row>
    <row r="7" spans="1:5" x14ac:dyDescent="0.35">
      <c r="A7" s="4" t="s">
        <v>10</v>
      </c>
      <c r="B7" s="5">
        <v>750394</v>
      </c>
      <c r="D7" s="4" t="s">
        <v>7</v>
      </c>
      <c r="E7" s="5">
        <v>1010710</v>
      </c>
    </row>
    <row r="8" spans="1:5" x14ac:dyDescent="0.35">
      <c r="A8" s="4" t="s">
        <v>9</v>
      </c>
      <c r="B8" s="5">
        <v>944706</v>
      </c>
      <c r="D8" s="4" t="s">
        <v>9</v>
      </c>
      <c r="E8" s="5">
        <v>944706</v>
      </c>
    </row>
    <row r="9" spans="1:5" x14ac:dyDescent="0.35">
      <c r="A9" s="4" t="s">
        <v>13</v>
      </c>
      <c r="B9" s="5">
        <v>891485</v>
      </c>
      <c r="D9" s="4" t="s">
        <v>11</v>
      </c>
      <c r="E9" s="5">
        <v>1158003</v>
      </c>
    </row>
    <row r="10" spans="1:5" x14ac:dyDescent="0.35">
      <c r="A10" s="4" t="s">
        <v>6</v>
      </c>
      <c r="B10" s="5">
        <v>664667</v>
      </c>
      <c r="D10" s="4" t="s">
        <v>12</v>
      </c>
      <c r="E10" s="5">
        <v>1061394</v>
      </c>
    </row>
    <row r="11" spans="1:5" x14ac:dyDescent="0.35">
      <c r="A11" s="4" t="s">
        <v>7</v>
      </c>
      <c r="B11" s="5">
        <v>1010710</v>
      </c>
      <c r="D11" s="4" t="s">
        <v>13</v>
      </c>
      <c r="E11" s="5">
        <v>891485</v>
      </c>
    </row>
    <row r="12" spans="1:5" x14ac:dyDescent="0.35">
      <c r="A12" s="4" t="s">
        <v>8</v>
      </c>
      <c r="B12" s="5">
        <v>756241</v>
      </c>
      <c r="D12" s="4" t="s">
        <v>18</v>
      </c>
      <c r="E12" s="5">
        <v>5066298</v>
      </c>
    </row>
    <row r="13" spans="1:5" x14ac:dyDescent="0.35">
      <c r="A13" s="4" t="s">
        <v>11</v>
      </c>
      <c r="B13" s="5">
        <v>1158003</v>
      </c>
    </row>
    <row r="14" spans="1:5" x14ac:dyDescent="0.35">
      <c r="A14" s="4" t="s">
        <v>12</v>
      </c>
      <c r="B14" s="5">
        <v>1061394</v>
      </c>
    </row>
    <row r="15" spans="1:5" x14ac:dyDescent="0.35">
      <c r="A15" s="4" t="s">
        <v>14</v>
      </c>
      <c r="B15" s="5">
        <v>814218</v>
      </c>
      <c r="D15" s="3" t="s">
        <v>34</v>
      </c>
      <c r="E15" t="s">
        <v>19</v>
      </c>
    </row>
    <row r="16" spans="1:5" x14ac:dyDescent="0.35">
      <c r="A16" s="4" t="s">
        <v>15</v>
      </c>
      <c r="B16" s="5">
        <v>544494</v>
      </c>
      <c r="D16" s="4" t="s">
        <v>24</v>
      </c>
      <c r="E16" s="5">
        <v>203908</v>
      </c>
    </row>
    <row r="17" spans="1:5" x14ac:dyDescent="0.35">
      <c r="A17" s="4" t="s">
        <v>16</v>
      </c>
      <c r="B17" s="5">
        <v>791815</v>
      </c>
      <c r="D17" s="4" t="s">
        <v>21</v>
      </c>
      <c r="E17" s="5">
        <v>208680</v>
      </c>
    </row>
    <row r="18" spans="1:5" x14ac:dyDescent="0.35">
      <c r="A18" s="4" t="s">
        <v>17</v>
      </c>
      <c r="B18" s="5">
        <v>800294</v>
      </c>
      <c r="D18" s="4" t="s">
        <v>25</v>
      </c>
      <c r="E18" s="5">
        <v>212128</v>
      </c>
    </row>
    <row r="19" spans="1:5" x14ac:dyDescent="0.35">
      <c r="A19" s="7" t="s">
        <v>18</v>
      </c>
      <c r="B19" s="5">
        <v>10188421</v>
      </c>
      <c r="D19" s="4" t="s">
        <v>22</v>
      </c>
      <c r="E19" s="5">
        <v>220093</v>
      </c>
    </row>
    <row r="20" spans="1:5" x14ac:dyDescent="0.35">
      <c r="D20" s="4" t="s">
        <v>23</v>
      </c>
      <c r="E20" s="5">
        <v>246542</v>
      </c>
    </row>
    <row r="21" spans="1:5" x14ac:dyDescent="0.35">
      <c r="D21" s="4" t="s">
        <v>18</v>
      </c>
      <c r="E21" s="5">
        <v>1091351</v>
      </c>
    </row>
    <row r="22" spans="1:5" x14ac:dyDescent="0.35">
      <c r="A22" s="3" t="s">
        <v>35</v>
      </c>
      <c r="B22" t="s">
        <v>33</v>
      </c>
    </row>
    <row r="23" spans="1:5" x14ac:dyDescent="0.35">
      <c r="A23" s="4" t="s">
        <v>30</v>
      </c>
      <c r="B23" s="6">
        <v>57</v>
      </c>
      <c r="D23" s="3" t="s">
        <v>5</v>
      </c>
      <c r="E23" t="s">
        <v>36</v>
      </c>
    </row>
    <row r="24" spans="1:5" x14ac:dyDescent="0.35">
      <c r="A24" s="4" t="s">
        <v>31</v>
      </c>
      <c r="B24" s="6">
        <v>73</v>
      </c>
      <c r="D24" s="4" t="s">
        <v>26</v>
      </c>
      <c r="E24" s="6">
        <v>252</v>
      </c>
    </row>
    <row r="25" spans="1:5" x14ac:dyDescent="0.35">
      <c r="A25" s="4" t="s">
        <v>32</v>
      </c>
      <c r="B25" s="6">
        <v>70</v>
      </c>
      <c r="D25" s="4" t="s">
        <v>27</v>
      </c>
      <c r="E25" s="6">
        <v>177</v>
      </c>
    </row>
    <row r="26" spans="1:5" x14ac:dyDescent="0.35">
      <c r="A26" s="4" t="s">
        <v>18</v>
      </c>
      <c r="B26" s="6">
        <v>200</v>
      </c>
      <c r="D26" s="4" t="s">
        <v>28</v>
      </c>
      <c r="E26" s="6">
        <v>305</v>
      </c>
    </row>
    <row r="27" spans="1:5" x14ac:dyDescent="0.35">
      <c r="D27" s="4" t="s">
        <v>29</v>
      </c>
      <c r="E27" s="6">
        <v>335</v>
      </c>
    </row>
    <row r="28" spans="1:5" x14ac:dyDescent="0.35">
      <c r="D28" s="4" t="s">
        <v>18</v>
      </c>
      <c r="E28" s="6">
        <v>1069</v>
      </c>
    </row>
    <row r="30" spans="1:5" x14ac:dyDescent="0.35">
      <c r="A30" s="3" t="s">
        <v>38</v>
      </c>
      <c r="B30" t="s">
        <v>37</v>
      </c>
      <c r="D30" s="3" t="s">
        <v>44</v>
      </c>
      <c r="E30" t="s">
        <v>19</v>
      </c>
    </row>
    <row r="31" spans="1:5" x14ac:dyDescent="0.35">
      <c r="A31" s="4" t="s">
        <v>26</v>
      </c>
      <c r="B31" s="5">
        <v>885858</v>
      </c>
      <c r="D31" s="4" t="s">
        <v>39</v>
      </c>
      <c r="E31" s="5">
        <v>203908</v>
      </c>
    </row>
    <row r="32" spans="1:5" x14ac:dyDescent="0.35">
      <c r="A32" s="4" t="s">
        <v>27</v>
      </c>
      <c r="B32" s="5">
        <v>1144313</v>
      </c>
      <c r="D32" s="4" t="s">
        <v>43</v>
      </c>
      <c r="E32" s="5">
        <v>208680</v>
      </c>
    </row>
    <row r="33" spans="1:5" x14ac:dyDescent="0.35">
      <c r="A33" s="4" t="s">
        <v>28</v>
      </c>
      <c r="B33" s="5">
        <v>1358394</v>
      </c>
      <c r="D33" s="4" t="s">
        <v>41</v>
      </c>
      <c r="E33" s="5">
        <v>212128</v>
      </c>
    </row>
    <row r="34" spans="1:5" x14ac:dyDescent="0.35">
      <c r="A34" s="4" t="s">
        <v>29</v>
      </c>
      <c r="B34" s="5">
        <v>1670849</v>
      </c>
      <c r="D34" s="4" t="s">
        <v>42</v>
      </c>
      <c r="E34" s="5">
        <v>220093</v>
      </c>
    </row>
    <row r="35" spans="1:5" x14ac:dyDescent="0.35">
      <c r="A35" s="4" t="s">
        <v>18</v>
      </c>
      <c r="B35" s="5">
        <v>5059414</v>
      </c>
      <c r="D35" s="4" t="s">
        <v>40</v>
      </c>
      <c r="E35" s="5">
        <v>246542</v>
      </c>
    </row>
    <row r="36" spans="1:5" x14ac:dyDescent="0.35">
      <c r="D36" s="4" t="s">
        <v>18</v>
      </c>
      <c r="E36" s="5">
        <v>1091351</v>
      </c>
    </row>
  </sheetData>
  <conditionalFormatting pivot="1" sqref="B7:B18">
    <cfRule type="dataBar" priority="1">
      <dataBar>
        <cfvo type="min"/>
        <cfvo type="max"/>
        <color rgb="FF63C384"/>
      </dataBar>
      <extLst>
        <ext xmlns:x14="http://schemas.microsoft.com/office/spreadsheetml/2009/9/main" uri="{B025F937-C7B1-47D3-B67F-A62EFF666E3E}">
          <x14:id>{CFA4CE8E-CA81-49E4-A9C1-3ADF5012935B}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CFA4CE8E-CA81-49E4-A9C1-3ADF5012935B}">
            <x14:dataBar minLength="0" maxLength="100" border="1" negativeBarBorderColorSameAsPositive="0">
              <x14:cfvo type="autoMin"/>
              <x14:cfvo type="autoMax"/>
              <x14:borderColor rgb="FF63C384"/>
              <x14:negativeFillColor rgb="FFFF0000"/>
              <x14:negativeBorderColor rgb="FFFF0000"/>
              <x14:axisColor rgb="FF000000"/>
            </x14:dataBar>
          </x14:cfRule>
          <xm:sqref>B7:B18</xm:sqref>
        </x14:conditionalFormatting>
      </x14:conditionalFormattings>
    </ext>
    <ext xmlns:x14="http://schemas.microsoft.com/office/spreadsheetml/2009/9/main" uri="{05C60535-1F16-4fd2-B633-F4F36F0B64E0}">
      <x14:sparklineGroups xmlns:xm="http://schemas.microsoft.com/office/excel/2006/main">
        <x14:sparklineGroup displayEmptyCellsAs="gap" xr2:uid="{B5A3BBBF-9650-4D6D-827F-9C221FD1C0C7}">
          <x14:colorSeries rgb="FF376092"/>
          <x14:colorNegative rgb="FFD00000"/>
          <x14:colorAxis rgb="FF000000"/>
          <x14:colorMarkers rgb="FFD00000"/>
          <x14:colorFirst rgb="FFD00000"/>
          <x14:colorLast rgb="FFD00000"/>
          <x14:colorHigh rgb="FFD00000"/>
          <x14:colorLow rgb="FFD00000"/>
          <x14:sparklines>
            <x14:sparkline>
              <xm:f>Sheet1!B7:B18</xm:f>
              <xm:sqref>C7</xm:sqref>
            </x14:sparkline>
            <x14:sparkline>
              <xm:f>Sheet1!B8:B19</xm:f>
              <xm:sqref>C8</xm:sqref>
            </x14:sparkline>
            <x14:sparkline>
              <xm:f>Sheet1!B9:B20</xm:f>
              <xm:sqref>C9</xm:sqref>
            </x14:sparkline>
            <x14:sparkline>
              <xm:f>Sheet1!B10:B21</xm:f>
              <xm:sqref>C10</xm:sqref>
            </x14:sparkline>
            <x14:sparkline>
              <xm:f>Sheet1!B11:B22</xm:f>
              <xm:sqref>C11</xm:sqref>
            </x14:sparkline>
            <x14:sparkline>
              <xm:f>Sheet1!B12:B23</xm:f>
              <xm:sqref>C12</xm:sqref>
            </x14:sparkline>
            <x14:sparkline>
              <xm:f>Sheet1!B13:B24</xm:f>
              <xm:sqref>C13</xm:sqref>
            </x14:sparkline>
            <x14:sparkline>
              <xm:f>Sheet1!B14:B25</xm:f>
              <xm:sqref>C14</xm:sqref>
            </x14:sparkline>
            <x14:sparkline>
              <xm:f>Sheet1!B15:B26</xm:f>
              <xm:sqref>C15</xm:sqref>
            </x14:sparkline>
            <x14:sparkline>
              <xm:f>Sheet1!B16:B27</xm:f>
              <xm:sqref>C16</xm:sqref>
            </x14:sparkline>
            <x14:sparkline>
              <xm:f>Sheet1!B17:B28</xm:f>
              <xm:sqref>C17</xm:sqref>
            </x14:sparkline>
            <x14:sparkline>
              <xm:f>Sheet1!B18:B29</xm:f>
              <xm:sqref>C18</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13CD6-91DF-49C5-A1AC-ECE8E60651D9}">
  <dimension ref="A1"/>
  <sheetViews>
    <sheetView showGridLines="0" tabSelected="1" topLeftCell="A3" zoomScale="78" zoomScaleNormal="78" workbookViewId="0">
      <selection activeCell="V17" sqref="V17"/>
    </sheetView>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0567A4FB-BC8B-406F-80E3-1660651909C8}">
  <ds:schemaRefs/>
</ds:datastoreItem>
</file>

<file path=customXml/itemProps2.xml><?xml version="1.0" encoding="utf-8"?>
<ds:datastoreItem xmlns:ds="http://schemas.openxmlformats.org/officeDocument/2006/customXml" ds:itemID="{5F14CDE4-E53E-403C-A14F-A2C01972438A}">
  <ds:schemaRefs/>
</ds:datastoreItem>
</file>

<file path=customXml/itemProps3.xml><?xml version="1.0" encoding="utf-8"?>
<ds:datastoreItem xmlns:ds="http://schemas.openxmlformats.org/officeDocument/2006/customXml" ds:itemID="{E14325F0-8B75-472A-8C0D-0F4D6EB77E46}">
  <ds:schemaRefs/>
</ds:datastoreItem>
</file>

<file path=customXml/itemProps4.xml><?xml version="1.0" encoding="utf-8"?>
<ds:datastoreItem xmlns:ds="http://schemas.openxmlformats.org/officeDocument/2006/customXml" ds:itemID="{049D5062-092F-4E0D-B71D-3AF1B27FFE37}">
  <ds:schemaRefs/>
</ds:datastoreItem>
</file>

<file path=customXml/itemProps5.xml><?xml version="1.0" encoding="utf-8"?>
<ds:datastoreItem xmlns:ds="http://schemas.openxmlformats.org/officeDocument/2006/customXml" ds:itemID="{F0CA033A-628B-45F0-B4B4-351834EFB443}">
  <ds:schemaRefs/>
</ds:datastoreItem>
</file>

<file path=customXml/itemProps6.xml><?xml version="1.0" encoding="utf-8"?>
<ds:datastoreItem xmlns:ds="http://schemas.openxmlformats.org/officeDocument/2006/customXml" ds:itemID="{519676A1-3B4D-4C04-A054-FC3F23F8A9D6}">
  <ds:schemaRefs/>
</ds:datastoreItem>
</file>

<file path=customXml/itemProps7.xml><?xml version="1.0" encoding="utf-8"?>
<ds:datastoreItem xmlns:ds="http://schemas.openxmlformats.org/officeDocument/2006/customXml" ds:itemID="{6A8BF8A8-61B9-4F8B-9032-5B17812D971E}">
  <ds:schemaRefs/>
</ds:datastoreItem>
</file>

<file path=customXml/itemProps8.xml><?xml version="1.0" encoding="utf-8"?>
<ds:datastoreItem xmlns:ds="http://schemas.openxmlformats.org/officeDocument/2006/customXml" ds:itemID="{0F1B5D6E-0E6C-4C8B-B3B3-7301BB8B9549}">
  <ds:schemaRefs/>
</ds:datastoreItem>
</file>

<file path=customXml/itemProps9.xml><?xml version="1.0" encoding="utf-8"?>
<ds:datastoreItem xmlns:ds="http://schemas.openxmlformats.org/officeDocument/2006/customXml" ds:itemID="{6EFA7B09-D64A-4213-995A-9D126028ECB0}">
  <ds:schemaRefs>
    <ds:schemaRef ds:uri="http://schemas.microsoft.com/DataMashup"/>
  </ds:schemaRefs>
</ds:datastoreItem>
</file>

<file path=customXml/itemProps10.xml><?xml version="1.0" encoding="utf-8"?>
<ds:datastoreItem xmlns:ds="http://schemas.openxmlformats.org/officeDocument/2006/customXml" ds:itemID="{CA63BA6A-8588-425D-A749-B2CA8AEAA178}">
  <ds:schemaRefs/>
</ds:datastoreItem>
</file>

<file path=customXml/itemProps11.xml><?xml version="1.0" encoding="utf-8"?>
<ds:datastoreItem xmlns:ds="http://schemas.openxmlformats.org/officeDocument/2006/customXml" ds:itemID="{8D91BC0A-138E-457F-BA75-31115EDEA5A9}">
  <ds:schemaRefs/>
</ds:datastoreItem>
</file>

<file path=customXml/itemProps12.xml><?xml version="1.0" encoding="utf-8"?>
<ds:datastoreItem xmlns:ds="http://schemas.openxmlformats.org/officeDocument/2006/customXml" ds:itemID="{17C354D6-CD13-43F6-A38D-8838D2953F72}">
  <ds:schemaRefs/>
</ds:datastoreItem>
</file>

<file path=customXml/itemProps13.xml><?xml version="1.0" encoding="utf-8"?>
<ds:datastoreItem xmlns:ds="http://schemas.openxmlformats.org/officeDocument/2006/customXml" ds:itemID="{E35D980B-B5CA-4BCE-9151-C4A67E26767D}">
  <ds:schemaRefs/>
</ds:datastoreItem>
</file>

<file path=customXml/itemProps14.xml><?xml version="1.0" encoding="utf-8"?>
<ds:datastoreItem xmlns:ds="http://schemas.openxmlformats.org/officeDocument/2006/customXml" ds:itemID="{54844B25-A223-49B1-82CB-FA5513264D96}">
  <ds:schemaRefs/>
</ds:datastoreItem>
</file>

<file path=customXml/itemProps15.xml><?xml version="1.0" encoding="utf-8"?>
<ds:datastoreItem xmlns:ds="http://schemas.openxmlformats.org/officeDocument/2006/customXml" ds:itemID="{36513366-4A24-43D9-A0E9-D38EE46CC673}">
  <ds:schemaRefs/>
</ds:datastoreItem>
</file>

<file path=customXml/itemProps16.xml><?xml version="1.0" encoding="utf-8"?>
<ds:datastoreItem xmlns:ds="http://schemas.openxmlformats.org/officeDocument/2006/customXml" ds:itemID="{0BC179B9-BB1B-464E-9675-4B5D69C538F8}">
  <ds:schemaRefs/>
</ds:datastoreItem>
</file>

<file path=customXml/itemProps17.xml><?xml version="1.0" encoding="utf-8"?>
<ds:datastoreItem xmlns:ds="http://schemas.openxmlformats.org/officeDocument/2006/customXml" ds:itemID="{A6338FA7-E830-4181-AC9A-081564D2ECFE}">
  <ds:schemaRefs/>
</ds:datastoreItem>
</file>

<file path=customXml/itemProps18.xml><?xml version="1.0" encoding="utf-8"?>
<ds:datastoreItem xmlns:ds="http://schemas.openxmlformats.org/officeDocument/2006/customXml" ds:itemID="{AACD6103-E2B0-49DC-83A4-46627E613B44}">
  <ds:schemaRefs/>
</ds:datastoreItem>
</file>

<file path=customXml/itemProps19.xml><?xml version="1.0" encoding="utf-8"?>
<ds:datastoreItem xmlns:ds="http://schemas.openxmlformats.org/officeDocument/2006/customXml" ds:itemID="{F039F1F5-8A04-4357-AAA0-8CE05D1150FE}">
  <ds:schemaRefs/>
</ds:datastoreItem>
</file>

<file path=customXml/itemProps20.xml><?xml version="1.0" encoding="utf-8"?>
<ds:datastoreItem xmlns:ds="http://schemas.openxmlformats.org/officeDocument/2006/customXml" ds:itemID="{B79DBF09-13F3-4F93-B03D-3DEFB3AAD35C}">
  <ds:schemaRefs/>
</ds:datastoreItem>
</file>

<file path=customXml/itemProps21.xml><?xml version="1.0" encoding="utf-8"?>
<ds:datastoreItem xmlns:ds="http://schemas.openxmlformats.org/officeDocument/2006/customXml" ds:itemID="{C933EF4E-4C2C-4482-AF5C-958965784ACB}">
  <ds:schemaRefs/>
</ds:datastoreItem>
</file>

<file path=customXml/itemProps22.xml><?xml version="1.0" encoding="utf-8"?>
<ds:datastoreItem xmlns:ds="http://schemas.openxmlformats.org/officeDocument/2006/customXml" ds:itemID="{E1349FF3-C3B1-4219-B182-74DAB88ACCD7}">
  <ds:schemaRefs/>
</ds:datastoreItem>
</file>

<file path=customXml/itemProps23.xml><?xml version="1.0" encoding="utf-8"?>
<ds:datastoreItem xmlns:ds="http://schemas.openxmlformats.org/officeDocument/2006/customXml" ds:itemID="{43A76B5E-34A4-4269-9102-79AD6AB45691}">
  <ds:schemaRefs/>
</ds:datastoreItem>
</file>

<file path=customXml/itemProps24.xml><?xml version="1.0" encoding="utf-8"?>
<ds:datastoreItem xmlns:ds="http://schemas.openxmlformats.org/officeDocument/2006/customXml" ds:itemID="{59ED015D-54BD-49D7-9A1E-A8A83DFEAD7E}">
  <ds:schemaRefs/>
</ds:datastoreItem>
</file>

<file path=customXml/itemProps25.xml><?xml version="1.0" encoding="utf-8"?>
<ds:datastoreItem xmlns:ds="http://schemas.openxmlformats.org/officeDocument/2006/customXml" ds:itemID="{69F3FC54-E8B8-4663-876F-93649A63A9F9}">
  <ds:schemaRefs/>
</ds:datastoreItem>
</file>

<file path=customXml/itemProps26.xml><?xml version="1.0" encoding="utf-8"?>
<ds:datastoreItem xmlns:ds="http://schemas.openxmlformats.org/officeDocument/2006/customXml" ds:itemID="{C5F139F2-AC70-4380-88A3-92929D1425E4}">
  <ds:schemaRefs/>
</ds:datastoreItem>
</file>

<file path=customXml/itemProps27.xml><?xml version="1.0" encoding="utf-8"?>
<ds:datastoreItem xmlns:ds="http://schemas.openxmlformats.org/officeDocument/2006/customXml" ds:itemID="{A96AB022-3FDF-4E65-B3E3-3A4309563F95}">
  <ds:schemaRefs/>
</ds:datastoreItem>
</file>

<file path=customXml/itemProps28.xml><?xml version="1.0" encoding="utf-8"?>
<ds:datastoreItem xmlns:ds="http://schemas.openxmlformats.org/officeDocument/2006/customXml" ds:itemID="{5B2D8E48-6108-4A52-BCA0-842F589981A2}">
  <ds:schemaRefs/>
</ds:datastoreItem>
</file>

<file path=customXml/itemProps29.xml><?xml version="1.0" encoding="utf-8"?>
<ds:datastoreItem xmlns:ds="http://schemas.openxmlformats.org/officeDocument/2006/customXml" ds:itemID="{31B76391-FE84-4D71-A7E0-DD739DE6789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Chidimma Ukauwa</dc:creator>
  <cp:lastModifiedBy>Chidimma Ukauwa</cp:lastModifiedBy>
  <dcterms:created xsi:type="dcterms:W3CDTF">2025-01-13T12:01:25Z</dcterms:created>
  <dcterms:modified xsi:type="dcterms:W3CDTF">2025-01-14T02:17:57Z</dcterms:modified>
</cp:coreProperties>
</file>